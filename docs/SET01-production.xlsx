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 01" sheetId="1" state="visible" r:id="rId1"/>
    <sheet xmlns:r="http://schemas.openxmlformats.org/officeDocument/2006/relationships" name="Synthèse" sheetId="2" state="visible" r:id="rId2"/>
  </sheets>
  <definedNames>
    <definedName name="_xlnm._FilterDatabase" localSheetId="0" hidden="1">'SET 01'!$A$1:$S$61</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ECE8E1"/>
      <sz val="10"/>
    </font>
    <font>
      <name val="Arial"/>
      <sz val="10"/>
    </font>
    <font>
      <name val="Arial"/>
      <b val="1"/>
      <color rgb="003D8FD6"/>
      <sz val="10"/>
    </font>
    <font>
      <name val="Arial"/>
      <b val="1"/>
      <color rgb="00C23B4E"/>
      <sz val="10"/>
    </font>
    <font>
      <name val="Arial"/>
      <b val="1"/>
      <color rgb="00B08D57"/>
      <sz val="10"/>
    </font>
    <font>
      <name val="Arial"/>
      <b val="1"/>
      <sz val="12"/>
    </font>
    <font>
      <name val="Arial"/>
      <b val="1"/>
      <sz val="10"/>
    </font>
  </fonts>
  <fills count="5">
    <fill>
      <patternFill/>
    </fill>
    <fill>
      <patternFill patternType="gray125"/>
    </fill>
    <fill>
      <patternFill patternType="solid">
        <fgColor rgb="000F1923"/>
      </patternFill>
    </fill>
    <fill>
      <patternFill patternType="solid">
        <fgColor rgb="001E4620"/>
      </patternFill>
    </fill>
    <fill>
      <patternFill patternType="solid">
        <fgColor rgb="004A3A10"/>
      </patternFill>
    </fill>
  </fills>
  <borders count="2">
    <border>
      <left/>
      <right/>
      <top/>
      <bottom/>
      <diagonal/>
    </border>
    <border>
      <left style="thin">
        <color rgb="003A3D46"/>
      </left>
      <right style="thin">
        <color rgb="003A3D46"/>
      </right>
      <top style="thin">
        <color rgb="003A3D46"/>
      </top>
      <bottom style="thin">
        <color rgb="003A3D46"/>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xf>
    <xf numFmtId="0" fontId="1" fillId="3" borderId="1" applyAlignment="1" pivotButton="0" quotePrefix="0" xfId="0">
      <alignment vertical="top"/>
    </xf>
    <xf numFmtId="0" fontId="3" fillId="0" borderId="1" applyAlignment="1" pivotButton="0" quotePrefix="0" xfId="0">
      <alignment vertical="top"/>
    </xf>
    <xf numFmtId="0" fontId="2" fillId="0" borderId="1" applyAlignment="1" pivotButton="0" quotePrefix="0" xfId="0">
      <alignment vertical="top" wrapText="1"/>
    </xf>
    <xf numFmtId="0" fontId="1" fillId="4" borderId="1" applyAlignment="1" pivotButton="0" quotePrefix="0" xfId="0">
      <alignment vertical="top"/>
    </xf>
    <xf numFmtId="0" fontId="4" fillId="0" borderId="1" applyAlignment="1" pivotButton="0" quotePrefix="0" xfId="0">
      <alignment vertical="top"/>
    </xf>
    <xf numFmtId="0" fontId="5" fillId="0" borderId="1" applyAlignment="1" pivotButton="0" quotePrefix="0" xfId="0">
      <alignment vertical="top"/>
    </xf>
    <xf numFmtId="0" fontId="6" fillId="0" borderId="0" pivotButton="0" quotePrefix="0" xfId="0"/>
    <xf numFmtId="0" fontId="2" fillId="0" borderId="0" pivotButton="0" quotePrefix="0" xfId="0"/>
    <xf numFmtId="0" fontId="7" fillId="0" borderId="0" pivotButton="0" quotePrefix="0" xfId="0"/>
    <xf numFmtId="164"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1"/>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1" customWidth="1" min="3" max="3"/>
    <col width="12" customWidth="1" min="4" max="4"/>
    <col width="12" customWidth="1" min="5" max="5"/>
    <col width="10" customWidth="1" min="6" max="6"/>
    <col width="6" customWidth="1" min="7" max="7"/>
    <col width="6" customWidth="1" min="8" max="8"/>
    <col width="6" customWidth="1" min="9" max="9"/>
    <col width="22" customWidth="1" min="10" max="10"/>
    <col width="46" customWidth="1" min="11" max="11"/>
    <col width="8" customWidth="1" min="12" max="12"/>
    <col width="42" customWidth="1" min="13" max="13"/>
    <col width="40" customWidth="1" min="14" max="14"/>
    <col width="8" customWidth="1" min="15" max="15"/>
    <col width="12" customWidth="1" min="16" max="16"/>
    <col width="22" customWidth="1" min="17" max="17"/>
    <col width="26" customWidth="1" min="18" max="18"/>
    <col width="95" customWidth="1" min="19" max="19"/>
  </cols>
  <sheetData>
    <row r="1">
      <c r="A1" s="1" t="inlineStr">
        <is>
          <t>Slot</t>
        </is>
      </c>
      <c r="B1" s="1" t="inlineStr">
        <is>
          <t>Slug</t>
        </is>
      </c>
      <c r="C1" s="1" t="inlineStr">
        <is>
          <t>Statut</t>
        </is>
      </c>
      <c r="D1" s="1" t="inlineStr">
        <is>
          <t>Faction</t>
        </is>
      </c>
      <c r="E1" s="1" t="inlineStr">
        <is>
          <t>Rareté</t>
        </is>
      </c>
      <c r="F1" s="1" t="inlineStr">
        <is>
          <t>Type</t>
        </is>
      </c>
      <c r="G1" s="1" t="inlineStr">
        <is>
          <t>Coût</t>
        </is>
      </c>
      <c r="H1" s="1" t="inlineStr">
        <is>
          <t>ATQ</t>
        </is>
      </c>
      <c r="I1" s="1" t="inlineStr">
        <is>
          <t>INT</t>
        </is>
      </c>
      <c r="J1" s="1" t="inlineStr">
        <is>
          <t>CELL</t>
        </is>
      </c>
      <c r="K1" s="1" t="inlineStr">
        <is>
          <t>Effet</t>
        </is>
      </c>
      <c r="L1" s="1" t="inlineStr">
        <is>
          <t>Synchro (coût)</t>
        </is>
      </c>
      <c r="M1" s="1" t="inlineStr">
        <is>
          <t>Synchro (effet)</t>
        </is>
      </c>
      <c r="N1" s="1" t="inlineStr">
        <is>
          <t>Flavor</t>
        </is>
      </c>
      <c r="O1" s="1" t="inlineStr">
        <is>
          <t>Full art</t>
        </is>
      </c>
      <c r="P1" s="1" t="inlineStr">
        <is>
          <t>Zone</t>
        </is>
      </c>
      <c r="Q1" s="1" t="inlineStr">
        <is>
          <t>Rôle</t>
        </is>
      </c>
      <c r="R1" s="1" t="inlineStr">
        <is>
          <t>Fichier attendu</t>
        </is>
      </c>
      <c r="S1" s="1" t="inlineStr">
        <is>
          <t>Prompt Midjourney</t>
        </is>
      </c>
    </row>
    <row r="2">
      <c r="A2" s="2" t="inlineStr">
        <is>
          <t>R01</t>
        </is>
      </c>
      <c r="B2" s="2" t="inlineStr">
        <is>
          <t>recrue-du-cycle</t>
        </is>
      </c>
      <c r="C2" s="3" t="inlineStr">
        <is>
          <t>Forgée</t>
        </is>
      </c>
      <c r="D2" s="4" t="inlineStr">
        <is>
          <t>RIKKEN</t>
        </is>
      </c>
      <c r="E2" s="2" t="inlineStr">
        <is>
          <t>Standard</t>
        </is>
      </c>
      <c r="F2" s="2" t="inlineStr">
        <is>
          <t>Traveler</t>
        </is>
      </c>
      <c r="G2" s="2" t="n">
        <v>1</v>
      </c>
      <c r="H2" s="2" t="n">
        <v>1</v>
      </c>
      <c r="I2" s="2" t="n">
        <v>2</v>
      </c>
      <c r="J2" s="2" t="inlineStr">
        <is>
          <t>Combinaison pré-CELL</t>
        </is>
      </c>
      <c r="K2" s="5" t="inlineStr"/>
      <c r="L2" s="2" t="inlineStr"/>
      <c r="M2" s="5" t="inlineStr"/>
      <c r="N2" s="5" t="inlineStr">
        <is>
          <t>Le test peut la tuer. Elle a signé quand même.</t>
        </is>
      </c>
      <c r="O2" s="2" t="inlineStr">
        <is>
          <t>Non</t>
        </is>
      </c>
      <c r="P2" s="2" t="inlineStr">
        <is>
          <t>—</t>
        </is>
      </c>
      <c r="Q2" s="2" t="inlineStr">
        <is>
          <t>early drop</t>
        </is>
      </c>
      <c r="R2" s="2" t="inlineStr">
        <is>
          <t>recrue-du-cycle.png</t>
        </is>
      </c>
      <c r="S2" s="5" t="inlineStr">
        <is>
          <t>young female recruit in a matte black training bodysuit vaulting over an obstacle wall, morning light shafts through high skylights, dust motes, instructors watching from a gantry, blue and amber training lights, league of legends splash art, highly detailed, dynamic composition, cinematic lighting --no fantasy armor, text, watermark</t>
        </is>
      </c>
    </row>
    <row r="3">
      <c r="A3" s="2" t="inlineStr">
        <is>
          <t>R02</t>
        </is>
      </c>
      <c r="B3" s="2" t="inlineStr">
        <is>
          <t>technicienne-de-la-centrale</t>
        </is>
      </c>
      <c r="C3" s="3" t="inlineStr">
        <is>
          <t>Forgée</t>
        </is>
      </c>
      <c r="D3" s="4" t="inlineStr">
        <is>
          <t>RIKKEN</t>
        </is>
      </c>
      <c r="E3" s="2" t="inlineStr">
        <is>
          <t>Standard</t>
        </is>
      </c>
      <c r="F3" s="2" t="inlineStr">
        <is>
          <t>Traveler</t>
        </is>
      </c>
      <c r="G3" s="2" t="n">
        <v>2</v>
      </c>
      <c r="H3" s="2" t="n">
        <v>1</v>
      </c>
      <c r="I3" s="2" t="n">
        <v>3</v>
      </c>
      <c r="J3" s="2" t="inlineStr">
        <is>
          <t>Personnel de la Centrale</t>
        </is>
      </c>
      <c r="K3" s="5" t="inlineStr">
        <is>
          <t>À l'arrivée : restaurez 2 Intégrité à une unité alliée.</t>
        </is>
      </c>
      <c r="L3" s="2" t="inlineStr"/>
      <c r="M3" s="5" t="inlineStr"/>
      <c r="N3" s="5" t="inlineStr">
        <is>
          <t>Huit cents mètres sous Odaiba, quelqu'un doit bien serrer les boulons.</t>
        </is>
      </c>
      <c r="O3" s="2" t="inlineStr">
        <is>
          <t>Non</t>
        </is>
      </c>
      <c r="P3" s="2" t="inlineStr">
        <is>
          <t>—</t>
        </is>
      </c>
      <c r="Q3" s="2" t="inlineStr">
        <is>
          <t>soigneur early</t>
        </is>
      </c>
      <c r="R3" s="2" t="inlineStr">
        <is>
          <t>technicienne-de-la-centrale.png</t>
        </is>
      </c>
      <c r="S3" s="5" t="inlineStr">
        <is>
          <t>female engineer in dark work uniform riding an open elevator platform down a colossal glowing core shaft, hair blown upward, wrench on her shoulder, blue-white light rising from far below, amber safety beacons flashing past, league of legends splash art, highly detailed, dynamic composition, cinematic lighting --no fantasy armor, text, watermark</t>
        </is>
      </c>
    </row>
    <row r="4">
      <c r="A4" s="2" t="inlineStr">
        <is>
          <t>R03</t>
        </is>
      </c>
      <c r="B4" s="2" t="inlineStr">
        <is>
          <t>operationnelle-cell-aqua</t>
        </is>
      </c>
      <c r="C4" s="3" t="inlineStr">
        <is>
          <t>Forgée</t>
        </is>
      </c>
      <c r="D4" s="4" t="inlineStr">
        <is>
          <t>RIKKEN</t>
        </is>
      </c>
      <c r="E4" s="2" t="inlineStr">
        <is>
          <t>Standard</t>
        </is>
      </c>
      <c r="F4" s="2" t="inlineStr">
        <is>
          <t>Traveler</t>
        </is>
      </c>
      <c r="G4" s="2" t="n">
        <v>2</v>
      </c>
      <c r="H4" s="2" t="n">
        <v>2</v>
      </c>
      <c r="I4" s="2" t="n">
        <v>2</v>
      </c>
      <c r="J4" s="2" t="inlineStr">
        <is>
          <t>CELL Aqua</t>
        </is>
      </c>
      <c r="K4" s="5" t="inlineStr"/>
      <c r="L4" s="2" t="n">
        <v>1</v>
      </c>
      <c r="M4" s="5" t="inlineStr">
        <is>
          <t>Hydro-blindage : +0/+2.</t>
        </is>
      </c>
      <c r="N4" s="5" t="inlineStr">
        <is>
          <t>L'eau ne force pas. Elle trouve le chemin.</t>
        </is>
      </c>
      <c r="O4" s="2" t="inlineStr">
        <is>
          <t>Non</t>
        </is>
      </c>
      <c r="P4" s="2" t="inlineStr">
        <is>
          <t>—</t>
        </is>
      </c>
      <c r="Q4" s="2" t="inlineStr">
        <is>
          <t>synchro cheap</t>
        </is>
      </c>
      <c r="R4" s="2" t="inlineStr">
        <is>
          <t>operationnelle-cell-aqua.png</t>
        </is>
      </c>
      <c r="S4" s="5" t="inlineStr">
        <is>
          <t>female operative in a matte black segmented exosuit walking out of the sea at dawn, ribbons of water spiraling off her cyan-lit conduits, wet sand mirroring the pink sky, league of legends splash art, highly detailed, dynamic composition, cinematic lighting --no fantasy armor, medieval knight armor, text, watermark</t>
        </is>
      </c>
    </row>
    <row r="5">
      <c r="A5" s="2" t="inlineStr">
        <is>
          <t>R04</t>
        </is>
      </c>
      <c r="B5" s="2" t="inlineStr">
        <is>
          <t>eclaireuse-temporelle</t>
        </is>
      </c>
      <c r="C5" s="3" t="inlineStr">
        <is>
          <t>Forgée</t>
        </is>
      </c>
      <c r="D5" s="4" t="inlineStr">
        <is>
          <t>RIKKEN</t>
        </is>
      </c>
      <c r="E5" s="2" t="inlineStr">
        <is>
          <t>Standard</t>
        </is>
      </c>
      <c r="F5" s="2" t="inlineStr">
        <is>
          <t>Traveler</t>
        </is>
      </c>
      <c r="G5" s="2" t="n">
        <v>3</v>
      </c>
      <c r="H5" s="2" t="n">
        <v>2</v>
      </c>
      <c r="I5" s="2" t="n">
        <v>3</v>
      </c>
      <c r="J5" s="2" t="inlineStr">
        <is>
          <t>CELL de série · Course</t>
        </is>
      </c>
      <c r="K5" s="5" t="inlineStr">
        <is>
          <t>Célérité.</t>
        </is>
      </c>
      <c r="L5" s="2" t="inlineStr"/>
      <c r="M5" s="5" t="inlineStr"/>
      <c r="N5" s="5" t="inlineStr">
        <is>
          <t>Arrivée avant le rapport qui l'annonçait.</t>
        </is>
      </c>
      <c r="O5" s="2" t="inlineStr">
        <is>
          <t>Oui</t>
        </is>
      </c>
      <c r="P5" s="2" t="inlineStr">
        <is>
          <t>Z-01</t>
        </is>
      </c>
      <c r="Q5" s="2" t="inlineStr">
        <is>
          <t>tempo (Célérité)</t>
        </is>
      </c>
      <c r="R5" s="2" t="inlineStr">
        <is>
          <t>eclaireuse-temporelle.png</t>
        </is>
      </c>
      <c r="S5" s="5" t="inlineStr">
        <is>
          <t>female scout in a matte black segmented exosuit leaping between wooden scaffolding beams above the rooftops of 1888 paris at sunrise, blue suit seams trailing, sea of fog below, golden light on iron beams, league of legends splash art, highly detailed, dynamic composition, cinematic lighting --no eiffel tower, fantasy armor, text, watermark</t>
        </is>
      </c>
    </row>
    <row r="6">
      <c r="A6" s="2" t="inlineStr">
        <is>
          <t>R05</t>
        </is>
      </c>
      <c r="B6" s="2" t="inlineStr">
        <is>
          <t>garde-de-plateforme</t>
        </is>
      </c>
      <c r="C6" s="3" t="inlineStr">
        <is>
          <t>Forgée</t>
        </is>
      </c>
      <c r="D6" s="4" t="inlineStr">
        <is>
          <t>RIKKEN</t>
        </is>
      </c>
      <c r="E6" s="2" t="inlineStr">
        <is>
          <t>Standard</t>
        </is>
      </c>
      <c r="F6" s="2" t="inlineStr">
        <is>
          <t>Traveler</t>
        </is>
      </c>
      <c r="G6" s="2" t="n">
        <v>3</v>
      </c>
      <c r="H6" s="2" t="n">
        <v>2</v>
      </c>
      <c r="I6" s="2" t="n">
        <v>4</v>
      </c>
      <c r="J6" s="2" t="inlineStr">
        <is>
          <t>CELL de série · Rempart</t>
        </is>
      </c>
      <c r="K6" s="5" t="inlineStr">
        <is>
          <t>Garde.</t>
        </is>
      </c>
      <c r="L6" s="2" t="inlineStr"/>
      <c r="M6" s="5" t="inlineStr"/>
      <c r="N6" s="5" t="inlineStr">
        <is>
          <t>Personne ne passe. La question ne s'est jamais posée.</t>
        </is>
      </c>
      <c r="O6" s="2" t="inlineStr">
        <is>
          <t>Non</t>
        </is>
      </c>
      <c r="P6" s="2" t="inlineStr">
        <is>
          <t>—</t>
        </is>
      </c>
      <c r="Q6" s="2" t="inlineStr">
        <is>
          <t>mur early (Garde)</t>
        </is>
      </c>
      <c r="R6" s="2" t="inlineStr">
        <is>
          <t>garde-de-plateforme.png</t>
        </is>
      </c>
      <c r="S6" s="5" t="inlineStr">
        <is>
          <t>massive guard in a heavy matte black exosuit bracing wide-stance against a shockwave of blue light from an activating transfer platform, sparks streaming past him, his scarred face gritted and lit blue, amber alarms spinning, league of legends splash art, highly detailed, dynamic composition, cinematic lighting --no fantasy armor, giant robot, full helmet, text, watermark</t>
        </is>
      </c>
    </row>
    <row r="7">
      <c r="A7" s="2" t="inlineStr">
        <is>
          <t>R06</t>
        </is>
      </c>
      <c r="B7" s="2" t="inlineStr">
        <is>
          <t>analyste-du-drft</t>
        </is>
      </c>
      <c r="C7" s="3" t="inlineStr">
        <is>
          <t>Forgée</t>
        </is>
      </c>
      <c r="D7" s="4" t="inlineStr">
        <is>
          <t>RIKKEN</t>
        </is>
      </c>
      <c r="E7" s="2" t="inlineStr">
        <is>
          <t>Standard</t>
        </is>
      </c>
      <c r="F7" s="2" t="inlineStr">
        <is>
          <t>Traveler</t>
        </is>
      </c>
      <c r="G7" s="2" t="n">
        <v>4</v>
      </c>
      <c r="H7" s="2" t="n">
        <v>3</v>
      </c>
      <c r="I7" s="2" t="n">
        <v>3</v>
      </c>
      <c r="J7" s="2" t="inlineStr">
        <is>
          <t>Personnel du DRFT</t>
        </is>
      </c>
      <c r="K7" s="5" t="inlineStr">
        <is>
          <t>À l'arrivée : piochez une carte.</t>
        </is>
      </c>
      <c r="L7" s="2" t="inlineStr"/>
      <c r="M7" s="5" t="inlineStr"/>
      <c r="N7" s="5" t="inlineStr">
        <is>
          <t>Il a lu votre dossier. Il a lu tous les dossiers.</t>
        </is>
      </c>
      <c r="O7" s="2" t="inlineStr">
        <is>
          <t>Non</t>
        </is>
      </c>
      <c r="P7" s="2" t="inlineStr">
        <is>
          <t>—</t>
        </is>
      </c>
      <c r="Q7" s="2" t="inlineStr">
        <is>
          <t>pioche</t>
        </is>
      </c>
      <c r="R7" s="2" t="inlineStr">
        <is>
          <t>analyste-du-drft.png</t>
        </is>
      </c>
      <c r="S7" s="5" t="inlineStr">
        <is>
          <t>stern analyst with round glasses striding down a bright white archive hall, an armful of dossiers, loose pages flying behind him, holographic candidate faces flickering along the walls, cold daylight with one red rejected stamp, league of legends splash art, highly detailed, dynamic composition, cinematic lighting --no fantasy armor, text, watermark</t>
        </is>
      </c>
    </row>
    <row r="8">
      <c r="A8" s="2" t="inlineStr">
        <is>
          <t>R07</t>
        </is>
      </c>
      <c r="B8" s="2" t="inlineStr">
        <is>
          <t>rappel-a-la-centrale</t>
        </is>
      </c>
      <c r="C8" s="3" t="inlineStr">
        <is>
          <t>Forgée</t>
        </is>
      </c>
      <c r="D8" s="4" t="inlineStr">
        <is>
          <t>RIKKEN</t>
        </is>
      </c>
      <c r="E8" s="2" t="inlineStr">
        <is>
          <t>Standard</t>
        </is>
      </c>
      <c r="F8" s="2" t="inlineStr">
        <is>
          <t>Protocole</t>
        </is>
      </c>
      <c r="G8" s="2" t="n">
        <v>2</v>
      </c>
      <c r="H8" s="2" t="inlineStr"/>
      <c r="I8" s="2" t="inlineStr"/>
      <c r="J8" s="2" t="inlineStr"/>
      <c r="K8" s="5" t="inlineStr">
        <is>
          <t>Renvoyez une unité alliée dans votre main. Votre Centrale restaure 3 Intégrité.</t>
        </is>
      </c>
      <c r="L8" s="2" t="inlineStr"/>
      <c r="M8" s="5" t="inlineStr"/>
      <c r="N8" s="5" t="inlineStr">
        <is>
          <t>Le retour est toujours plus doux que le départ.</t>
        </is>
      </c>
      <c r="O8" s="2" t="inlineStr">
        <is>
          <t>Non</t>
        </is>
      </c>
      <c r="P8" s="2" t="inlineStr">
        <is>
          <t>—</t>
        </is>
      </c>
      <c r="Q8" s="2" t="inlineStr">
        <is>
          <t>soin / retour</t>
        </is>
      </c>
      <c r="R8" s="2" t="inlineStr">
        <is>
          <t>rappel-a-la-centrale.png</t>
        </is>
      </c>
      <c r="S8" s="5" t="inlineStr">
        <is>
          <t>a runner dissolving into ascending blue-white light streaks mid-stride on a busy 2049 tokyo crosswalk in daylight, pedestrians turning in shock, his coffee cup suspended mid-air, league of legends splash art, highly detailed, dynamic composition, cinematic lighting --no fantasy magic, text, watermark</t>
        </is>
      </c>
    </row>
    <row r="9">
      <c r="A9" s="2" t="inlineStr">
        <is>
          <t>R08</t>
        </is>
      </c>
      <c r="B9" s="2" t="inlineStr">
        <is>
          <t>briefing-de-mission</t>
        </is>
      </c>
      <c r="C9" s="3" t="inlineStr">
        <is>
          <t>Forgée</t>
        </is>
      </c>
      <c r="D9" s="4" t="inlineStr">
        <is>
          <t>RIKKEN</t>
        </is>
      </c>
      <c r="E9" s="2" t="inlineStr">
        <is>
          <t>Standard</t>
        </is>
      </c>
      <c r="F9" s="2" t="inlineStr">
        <is>
          <t>Protocole</t>
        </is>
      </c>
      <c r="G9" s="2" t="n">
        <v>3</v>
      </c>
      <c r="H9" s="2" t="inlineStr"/>
      <c r="I9" s="2" t="inlineStr"/>
      <c r="J9" s="2" t="inlineStr"/>
      <c r="K9" s="5" t="inlineStr">
        <is>
          <t>Piochez 2 cartes.</t>
        </is>
      </c>
      <c r="L9" s="2" t="inlineStr"/>
      <c r="M9" s="5" t="inlineStr"/>
      <c r="N9" s="5" t="inlineStr">
        <is>
          <t>Toutes les époques sur une table. Choisissez votre siècle.</t>
        </is>
      </c>
      <c r="O9" s="2" t="inlineStr">
        <is>
          <t>Non</t>
        </is>
      </c>
      <c r="P9" s="2" t="inlineStr">
        <is>
          <t>—</t>
        </is>
      </c>
      <c r="Q9" s="2" t="inlineStr">
        <is>
          <t>pioche</t>
        </is>
      </c>
      <c r="R9" s="2" t="inlineStr">
        <is>
          <t>briefing-de-mission.png</t>
        </is>
      </c>
      <c r="S9" s="5" t="inlineStr">
        <is>
          <t>top-down view of officers standing on a glass floor above a huge rotating holographic map of seven historical eras, one era glowing blank and white, coffee cups and files scattered on the glass, blue glow lighting them from below, league of legends splash art, highly detailed, cinematic lighting --no fantasy magic, text, watermark</t>
        </is>
      </c>
    </row>
    <row r="10">
      <c r="A10" s="2" t="inlineStr">
        <is>
          <t>R09</t>
        </is>
      </c>
      <c r="B10" s="2" t="inlineStr">
        <is>
          <t>mariam-diallo</t>
        </is>
      </c>
      <c r="C10" s="3" t="inlineStr">
        <is>
          <t>Forgée</t>
        </is>
      </c>
      <c r="D10" s="4" t="inlineStr">
        <is>
          <t>RIKKEN</t>
        </is>
      </c>
      <c r="E10" s="2" t="inlineStr">
        <is>
          <t>Rare</t>
        </is>
      </c>
      <c r="F10" s="2" t="inlineStr">
        <is>
          <t>Traveler</t>
        </is>
      </c>
      <c r="G10" s="2" t="n">
        <v>3</v>
      </c>
      <c r="H10" s="2" t="n">
        <v>2</v>
      </c>
      <c r="I10" s="2" t="n">
        <v>4</v>
      </c>
      <c r="J10" s="2" t="inlineStr">
        <is>
          <t>CELL Caduceus</t>
        </is>
      </c>
      <c r="K10" s="5" t="inlineStr"/>
      <c r="L10" s="2" t="n">
        <v>1</v>
      </c>
      <c r="M10" s="5" t="inlineStr">
        <is>
          <t>Nano-fluide : restaurez 4 Intégrité à une unité alliée.</t>
        </is>
      </c>
      <c r="N10" s="5" t="inlineStr">
        <is>
          <t>Sauver autrui la vide. Elle recommence quand même.</t>
        </is>
      </c>
      <c r="O10" s="2" t="inlineStr">
        <is>
          <t>Non</t>
        </is>
      </c>
      <c r="P10" s="2" t="inlineStr">
        <is>
          <t>—</t>
        </is>
      </c>
      <c r="Q10" s="2" t="inlineStr">
        <is>
          <t>soigneuse</t>
        </is>
      </c>
      <c r="R10" s="2" t="inlineStr">
        <is>
          <t>mariam-diallo.png</t>
        </is>
      </c>
      <c r="S10" s="5" t="inlineStr">
        <is>
          <t>young franco-senegalese medic in a matte black segmented exosuit running through warm rain carrying a wounded soldier on her back, her palm glowing cyan against his chest, field camp lanterns smearing in the wet dusk, league of legends splash art, highly detailed, dynamic composition, cinematic lighting --no fantasy armor, text, watermark</t>
        </is>
      </c>
    </row>
    <row r="11">
      <c r="A11" s="2" t="inlineStr">
        <is>
          <t>R10</t>
        </is>
      </c>
      <c r="B11" s="2" t="inlineStr">
        <is>
          <t>aiko-sakuraba</t>
        </is>
      </c>
      <c r="C11" s="3" t="inlineStr">
        <is>
          <t>Forgée</t>
        </is>
      </c>
      <c r="D11" s="4" t="inlineStr">
        <is>
          <t>RIKKEN</t>
        </is>
      </c>
      <c r="E11" s="2" t="inlineStr">
        <is>
          <t>Rare</t>
        </is>
      </c>
      <c r="F11" s="2" t="inlineStr">
        <is>
          <t>Traveler</t>
        </is>
      </c>
      <c r="G11" s="2" t="n">
        <v>2</v>
      </c>
      <c r="H11" s="2" t="n">
        <v>1</v>
      </c>
      <c r="I11" s="2" t="n">
        <v>3</v>
      </c>
      <c r="J11" s="2" t="inlineStr">
        <is>
          <t>CELL Stratos</t>
        </is>
      </c>
      <c r="K11" s="5" t="inlineStr"/>
      <c r="L11" s="2" t="n">
        <v>1</v>
      </c>
      <c r="M11" s="5" t="inlineStr">
        <is>
          <t>Analyse : regardez les 3 prochaines cartes de votre deck, piochez-en une.</t>
        </is>
      </c>
      <c r="N11" s="5" t="inlineStr">
        <is>
          <t>L'analyse reste probabiliste. C'est ce qui la ronge.</t>
        </is>
      </c>
      <c r="O11" s="2" t="inlineStr">
        <is>
          <t>Non</t>
        </is>
      </c>
      <c r="P11" s="2" t="inlineStr">
        <is>
          <t>—</t>
        </is>
      </c>
      <c r="Q11" s="2" t="inlineStr">
        <is>
          <t>valeur / info</t>
        </is>
      </c>
      <c r="R11" s="2" t="inlineStr">
        <is>
          <t>aiko-sakuraba.png</t>
        </is>
      </c>
      <c r="S11" s="5" t="inlineStr">
        <is>
          <t>young japanese woman in a matte black segmented exosuit standing on the top beam of a radio tower at dawn, wind whipping her hair, HUD visor streaming blue data against the pale gold sky, clouds far below, league of legends splash art, highly detailed, cinematic lighting --no fantasy armor, text, watermark</t>
        </is>
      </c>
    </row>
    <row r="12">
      <c r="A12" s="2" t="inlineStr">
        <is>
          <t>R11</t>
        </is>
      </c>
      <c r="B12" s="2" t="inlineStr">
        <is>
          <t>porteur-cell-pyros</t>
        </is>
      </c>
      <c r="C12" s="3" t="inlineStr">
        <is>
          <t>Forgée</t>
        </is>
      </c>
      <c r="D12" s="4" t="inlineStr">
        <is>
          <t>RIKKEN</t>
        </is>
      </c>
      <c r="E12" s="2" t="inlineStr">
        <is>
          <t>Rare</t>
        </is>
      </c>
      <c r="F12" s="2" t="inlineStr">
        <is>
          <t>Traveler</t>
        </is>
      </c>
      <c r="G12" s="2" t="n">
        <v>4</v>
      </c>
      <c r="H12" s="2" t="n">
        <v>4</v>
      </c>
      <c r="I12" s="2" t="n">
        <v>4</v>
      </c>
      <c r="J12" s="2" t="inlineStr">
        <is>
          <t>CELL Pyros</t>
        </is>
      </c>
      <c r="K12" s="5" t="inlineStr"/>
      <c r="L12" s="2" t="n">
        <v>2</v>
      </c>
      <c r="M12" s="5" t="inlineStr">
        <is>
          <t>Surchauffe : infligez 3 dégâts à une unité.</t>
        </is>
      </c>
      <c r="N12" s="5" t="inlineStr">
        <is>
          <t>Le feu ne le brûle plus. C'est tout le reste qui brûle.</t>
        </is>
      </c>
      <c r="O12" s="2" t="inlineStr">
        <is>
          <t>Non</t>
        </is>
      </c>
      <c r="P12" s="2" t="inlineStr">
        <is>
          <t>—</t>
        </is>
      </c>
      <c r="Q12" s="2" t="inlineStr">
        <is>
          <t>Synchro dégâts</t>
        </is>
      </c>
      <c r="R12" s="2" t="inlineStr">
        <is>
          <t>porteur-cell-pyros.png</t>
        </is>
      </c>
      <c r="S12" s="5" t="inlineStr">
        <is>
          <t>male traveler in a clearly visible matte black segmented exosuit with glowing ember channels, diving between new york style skyscrapers, flames streaming from his forearms and shoulders like a fiery wake behind him, his armor plates crisp and unobscured against the fire, fist cocked mid-strike, shattered glass glittering, cool blue city dusk against the blazing orange, league of legends splash art, highly detailed, dynamic composition, cinematic lighting --no fantasy armor, body fully engulfed in fire, text, watermark</t>
        </is>
      </c>
    </row>
    <row r="13">
      <c r="A13" s="2" t="inlineStr">
        <is>
          <t>R12</t>
        </is>
      </c>
      <c r="B13" s="2" t="inlineStr">
        <is>
          <t>senior-descorte</t>
        </is>
      </c>
      <c r="C13" s="3" t="inlineStr">
        <is>
          <t>Forgée</t>
        </is>
      </c>
      <c r="D13" s="4" t="inlineStr">
        <is>
          <t>RIKKEN</t>
        </is>
      </c>
      <c r="E13" s="2" t="inlineStr">
        <is>
          <t>Rare</t>
        </is>
      </c>
      <c r="F13" s="2" t="inlineStr">
        <is>
          <t>Traveler</t>
        </is>
      </c>
      <c r="G13" s="2" t="n">
        <v>5</v>
      </c>
      <c r="H13" s="2" t="n">
        <v>3</v>
      </c>
      <c r="I13" s="2" t="n">
        <v>6</v>
      </c>
      <c r="J13" s="2" t="inlineStr">
        <is>
          <t>CELL de série · Bastion</t>
        </is>
      </c>
      <c r="K13" s="5" t="inlineStr">
        <is>
          <t>Garde.</t>
        </is>
      </c>
      <c r="L13" s="2" t="inlineStr"/>
      <c r="M13" s="5" t="inlineStr"/>
      <c r="N13" s="5" t="inlineStr">
        <is>
          <t>Trois cycles de recrues lui ont survécu. C'est le but.</t>
        </is>
      </c>
      <c r="O13" s="2" t="inlineStr">
        <is>
          <t>Non</t>
        </is>
      </c>
      <c r="P13" s="2" t="inlineStr">
        <is>
          <t>—</t>
        </is>
      </c>
      <c r="Q13" s="2" t="inlineStr">
        <is>
          <t>mur milieu (Garde)</t>
        </is>
      </c>
      <c r="R13" s="2" t="inlineStr">
        <is>
          <t>senior-descorte.png</t>
        </is>
      </c>
      <c r="S13" s="5" t="inlineStr">
        <is>
          <t>grey-templed veteran in a scarred matte black exosuit bracing his shoulder against a buckling steel door, impact flare blooming through the gap, debris flying past him, his blue seams flickering under the strain, league of legends splash art, highly detailed, dynamic composition, cinematic lighting --no fantasy armor, text, watermark</t>
        </is>
      </c>
    </row>
    <row r="14">
      <c r="A14" s="2" t="inlineStr">
        <is>
          <t>R13</t>
        </is>
      </c>
      <c r="B14" s="2" t="inlineStr">
        <is>
          <t>transfert-durgence</t>
        </is>
      </c>
      <c r="C14" s="3" t="inlineStr">
        <is>
          <t>Forgée</t>
        </is>
      </c>
      <c r="D14" s="4" t="inlineStr">
        <is>
          <t>RIKKEN</t>
        </is>
      </c>
      <c r="E14" s="2" t="inlineStr">
        <is>
          <t>Rare</t>
        </is>
      </c>
      <c r="F14" s="2" t="inlineStr">
        <is>
          <t>Protocole</t>
        </is>
      </c>
      <c r="G14" s="2" t="n">
        <v>2</v>
      </c>
      <c r="H14" s="2" t="inlineStr"/>
      <c r="I14" s="2" t="inlineStr"/>
      <c r="J14" s="2" t="inlineStr"/>
      <c r="K14" s="5" t="inlineStr">
        <is>
          <t>Renvoyez un Traveler allié dans votre main. Son prochain Transfert coûte (1) de moins.</t>
        </is>
      </c>
      <c r="L14" s="2" t="inlineStr"/>
      <c r="M14" s="5" t="inlineStr"/>
      <c r="N14" s="5" t="inlineStr">
        <is>
          <t>La Centrale n'aime pas les retours imprévus. Elle les autorise quand même.</t>
        </is>
      </c>
      <c r="O14" s="2" t="inlineStr">
        <is>
          <t>Non</t>
        </is>
      </c>
      <c r="P14" s="2" t="inlineStr">
        <is>
          <t>—</t>
        </is>
      </c>
      <c r="Q14" s="2" t="inlineStr">
        <is>
          <t>flexibilité</t>
        </is>
      </c>
      <c r="R14" s="2" t="inlineStr">
        <is>
          <t>transfert-durgence.png</t>
        </is>
      </c>
      <c r="S14" s="5" t="inlineStr">
        <is>
          <t>a man in civilian clothes yanked off his feet toward a blazing blue-white light column, one arm dissolving into particles, terrified eyes meeting the viewer, morning light through tall lab windows, red alerts blinking, league of legends splash art, highly detailed, dynamic composition, cinematic lighting --no fantasy magic, text, watermark</t>
        </is>
      </c>
    </row>
    <row r="15">
      <c r="A15" s="2" t="inlineStr">
        <is>
          <t>R14</t>
        </is>
      </c>
      <c r="B15" s="2" t="inlineStr">
        <is>
          <t>bouclier-de-plateforme</t>
        </is>
      </c>
      <c r="C15" s="3" t="inlineStr">
        <is>
          <t>Forgée</t>
        </is>
      </c>
      <c r="D15" s="4" t="inlineStr">
        <is>
          <t>RIKKEN</t>
        </is>
      </c>
      <c r="E15" s="2" t="inlineStr">
        <is>
          <t>Rare</t>
        </is>
      </c>
      <c r="F15" s="2" t="inlineStr">
        <is>
          <t>Protocole</t>
        </is>
      </c>
      <c r="G15" s="2" t="n">
        <v>3</v>
      </c>
      <c r="H15" s="2" t="inlineStr"/>
      <c r="I15" s="2" t="inlineStr"/>
      <c r="J15" s="2" t="inlineStr"/>
      <c r="K15" s="5" t="inlineStr">
        <is>
          <t>Vos unités gagnent +0/+2.</t>
        </is>
      </c>
      <c r="L15" s="2" t="inlineStr"/>
      <c r="M15" s="5" t="inlineStr"/>
      <c r="N15" s="5" t="inlineStr">
        <is>
          <t>Le dôme tient tant que la Centrale respire.</t>
        </is>
      </c>
      <c r="O15" s="2" t="inlineStr">
        <is>
          <t>Non</t>
        </is>
      </c>
      <c r="P15" s="2" t="inlineStr">
        <is>
          <t>—</t>
        </is>
      </c>
      <c r="Q15" s="2" t="inlineStr">
        <is>
          <t>protection</t>
        </is>
      </c>
      <c r="R15" s="2" t="inlineStr">
        <is>
          <t>bouclier-de-plateforme.png</t>
        </is>
      </c>
      <c r="S15" s="5" t="inlineStr">
        <is>
          <t>squad of travelers in matte black exosuits kneeling under a translucent blue energy dome in a raging desert sandstorm, ancient arrows and debris shattering against the shield in amber bursts, league of legends splash art, highly detailed, dynamic composition, cinematic lighting --no fantasy armor, creatures, text, watermark</t>
        </is>
      </c>
    </row>
    <row r="16">
      <c r="A16" s="2" t="inlineStr">
        <is>
          <t>R15</t>
        </is>
      </c>
      <c r="B16" s="2" t="inlineStr">
        <is>
          <t>coordinatrice-descouade</t>
        </is>
      </c>
      <c r="C16" s="3" t="inlineStr">
        <is>
          <t>Forgée</t>
        </is>
      </c>
      <c r="D16" s="4" t="inlineStr">
        <is>
          <t>RIKKEN</t>
        </is>
      </c>
      <c r="E16" s="2" t="inlineStr">
        <is>
          <t>Épique</t>
        </is>
      </c>
      <c r="F16" s="2" t="inlineStr">
        <is>
          <t>Traveler</t>
        </is>
      </c>
      <c r="G16" s="2" t="n">
        <v>4</v>
      </c>
      <c r="H16" s="2" t="n">
        <v>3</v>
      </c>
      <c r="I16" s="2" t="n">
        <v>4</v>
      </c>
      <c r="J16" s="2" t="inlineStr">
        <is>
          <t>CELL de série · Relais</t>
        </is>
      </c>
      <c r="K16" s="5" t="inlineStr">
        <is>
          <t>Vos Synchros coûtent (1) de moins.</t>
        </is>
      </c>
      <c r="L16" s="2" t="inlineStr"/>
      <c r="M16" s="5" t="inlineStr"/>
      <c r="N16" s="5" t="inlineStr">
        <is>
          <t>Trois équipes, trois siècles, une seule voix dans l'oreillette.</t>
        </is>
      </c>
      <c r="O16" s="2" t="inlineStr">
        <is>
          <t>Non</t>
        </is>
      </c>
      <c r="P16" s="2" t="inlineStr">
        <is>
          <t>—</t>
        </is>
      </c>
      <c r="Q16" s="2" t="inlineStr">
        <is>
          <t>synergie Synchro</t>
        </is>
      </c>
      <c r="R16" s="2" t="inlineStr">
        <is>
          <t>coordinatrice-descouade.png</t>
        </is>
      </c>
      <c r="S16" s="5" t="inlineStr">
        <is>
          <t>female coordinator in dark officer uniform leaning over the rail of a floating gantry, pointing sharply, a ring of giant mission screens glowing around her showing three different eras, blue light from below and amber comm lights, league of legends splash art, highly detailed, cinematic lighting --no fantasy armor, text, watermark</t>
        </is>
      </c>
    </row>
    <row r="17">
      <c r="A17" s="2" t="inlineStr">
        <is>
          <t>R16</t>
        </is>
      </c>
      <c r="B17" s="2" t="inlineStr">
        <is>
          <t>viktor-volkov</t>
        </is>
      </c>
      <c r="C17" s="3" t="inlineStr">
        <is>
          <t>Forgée</t>
        </is>
      </c>
      <c r="D17" s="4" t="inlineStr">
        <is>
          <t>RIKKEN</t>
        </is>
      </c>
      <c r="E17" s="2" t="inlineStr">
        <is>
          <t>Épique</t>
        </is>
      </c>
      <c r="F17" s="2" t="inlineStr">
        <is>
          <t>Traveler</t>
        </is>
      </c>
      <c r="G17" s="2" t="n">
        <v>3</v>
      </c>
      <c r="H17" s="2" t="n">
        <v>3</v>
      </c>
      <c r="I17" s="2" t="n">
        <v>2</v>
      </c>
      <c r="J17" s="2" t="inlineStr">
        <is>
          <t>CELL Phaeton</t>
        </is>
      </c>
      <c r="K17" s="5" t="inlineStr">
        <is>
          <t>Célérité.</t>
        </is>
      </c>
      <c r="L17" s="2" t="n">
        <v>1</v>
      </c>
      <c r="M17" s="5" t="inlineStr">
        <is>
          <t>Nitro : +2 Attaque jusqu'à la fin du tour.</t>
        </is>
      </c>
      <c r="N17" s="5" t="inlineStr">
        <is>
          <t>Il agit. Il pense après. Dans cet ordre-là, toujours.</t>
        </is>
      </c>
      <c r="O17" s="2" t="inlineStr">
        <is>
          <t>Non</t>
        </is>
      </c>
      <c r="P17" s="2" t="inlineStr">
        <is>
          <t>—</t>
        </is>
      </c>
      <c r="Q17" s="2" t="inlineStr">
        <is>
          <t>tempo burst</t>
        </is>
      </c>
      <c r="R17" s="2" t="inlineStr">
        <is>
          <t>viktor-volkov.png</t>
        </is>
      </c>
      <c r="S17" s="5" t="inlineStr">
        <is>
          <t>young russian traveler grinning mid-leap high between two rooftops, orange nitro flames roaring from his calf conduits, 2049 tokyo spread far below in teal evening haze, his silhouette against the blazing sunset, league of legends splash art, highly detailed, dynamic composition, cinematic lighting --no fantasy armor, text, watermark</t>
        </is>
      </c>
    </row>
    <row r="18">
      <c r="A18" s="2" t="inlineStr">
        <is>
          <t>R17</t>
        </is>
      </c>
      <c r="B18" s="2" t="inlineStr">
        <is>
          <t>porteur-cell-magnus</t>
        </is>
      </c>
      <c r="C18" s="3" t="inlineStr">
        <is>
          <t>Forgée</t>
        </is>
      </c>
      <c r="D18" s="4" t="inlineStr">
        <is>
          <t>RIKKEN</t>
        </is>
      </c>
      <c r="E18" s="2" t="inlineStr">
        <is>
          <t>Épique</t>
        </is>
      </c>
      <c r="F18" s="2" t="inlineStr">
        <is>
          <t>Traveler</t>
        </is>
      </c>
      <c r="G18" s="2" t="n">
        <v>6</v>
      </c>
      <c r="H18" s="2" t="n">
        <v>5</v>
      </c>
      <c r="I18" s="2" t="n">
        <v>6</v>
      </c>
      <c r="J18" s="2" t="inlineStr">
        <is>
          <t>CELL Magnus</t>
        </is>
      </c>
      <c r="K18" s="5" t="inlineStr"/>
      <c r="L18" s="2" t="n">
        <v>2</v>
      </c>
      <c r="M18" s="5" t="inlineStr">
        <is>
          <t>Magnétosphère : vos autres Travelers gagnent +1/+1.</t>
        </is>
      </c>
      <c r="N18" s="5" t="inlineStr">
        <is>
          <t>Le fer se souvient de lui.</t>
        </is>
      </c>
      <c r="O18" s="2" t="inlineStr">
        <is>
          <t>Non</t>
        </is>
      </c>
      <c r="P18" s="2" t="inlineStr">
        <is>
          <t>—</t>
        </is>
      </c>
      <c r="Q18" s="2" t="inlineStr">
        <is>
          <t>finisher collectif</t>
        </is>
      </c>
      <c r="R18" s="2" t="inlineStr">
        <is>
          <t>porteur-cell-magnus.png</t>
        </is>
      </c>
      <c r="S18" s="5" t="inlineStr">
        <is>
          <t>traveler in a matte black segmented exosuit walking slowly across a cratered ancient battlefield as thousands of rusted blades and iron shards rise from the mud around him like reversed rain, bronze fog, his blue seams the only cold light, league of legends splash art, highly detailed, cinematic lighting --no fantasy armor, fantasy magic, text, watermark</t>
        </is>
      </c>
    </row>
    <row r="19">
      <c r="A19" s="2" t="inlineStr">
        <is>
          <t>R18</t>
        </is>
      </c>
      <c r="B19" s="2" t="inlineStr">
        <is>
          <t>allocation-denergie</t>
        </is>
      </c>
      <c r="C19" s="3" t="inlineStr">
        <is>
          <t>Forgée</t>
        </is>
      </c>
      <c r="D19" s="4" t="inlineStr">
        <is>
          <t>RIKKEN</t>
        </is>
      </c>
      <c r="E19" s="2" t="inlineStr">
        <is>
          <t>Épique</t>
        </is>
      </c>
      <c r="F19" s="2" t="inlineStr">
        <is>
          <t>Protocole</t>
        </is>
      </c>
      <c r="G19" s="2" t="n">
        <v>4</v>
      </c>
      <c r="H19" s="2" t="inlineStr"/>
      <c r="I19" s="2" t="inlineStr"/>
      <c r="J19" s="2" t="inlineStr"/>
      <c r="K19" s="5" t="inlineStr">
        <is>
          <t>Ce tour-ci, vos Synchros coûtent (0).</t>
        </is>
      </c>
      <c r="L19" s="2" t="inlineStr"/>
      <c r="M19" s="5" t="inlineStr"/>
      <c r="N19" s="5" t="inlineStr">
        <is>
          <t>La Centrale a hurlé six secondes. Toutes les équipes s'en souviennent.</t>
        </is>
      </c>
      <c r="O19" s="2" t="inlineStr">
        <is>
          <t>Non</t>
        </is>
      </c>
      <c r="P19" s="2" t="inlineStr">
        <is>
          <t>—</t>
        </is>
      </c>
      <c r="Q19" s="2" t="inlineStr">
        <is>
          <t>swing</t>
        </is>
      </c>
      <c r="R19" s="2" t="inlineStr">
        <is>
          <t>allocation-denergie.png</t>
        </is>
      </c>
      <c r="S19" s="5" t="inlineStr">
        <is>
          <t>vertical view up the throat of a colossal energy core mid-overload, rings of machinery blazing blue-white, engineers zip-lining away on cables, steam and amber strobes, industrial cathedral scale, league of legends splash art, highly detailed, dynamic composition, cinematic lighting --no spaceship, explosion, text, watermark</t>
        </is>
      </c>
    </row>
    <row r="20">
      <c r="A20" s="2" t="inlineStr">
        <is>
          <t>R19</t>
        </is>
      </c>
      <c r="B20" s="2" t="inlineStr">
        <is>
          <t>yuriko-watanabe</t>
        </is>
      </c>
      <c r="C20" s="6" t="inlineStr">
        <is>
          <t>À générer</t>
        </is>
      </c>
      <c r="D20" s="4" t="inlineStr">
        <is>
          <t>RIKKEN</t>
        </is>
      </c>
      <c r="E20" s="2" t="inlineStr">
        <is>
          <t>Légendaire</t>
        </is>
      </c>
      <c r="F20" s="2" t="inlineStr">
        <is>
          <t>Traveler</t>
        </is>
      </c>
      <c r="G20" s="2" t="n">
        <v>5</v>
      </c>
      <c r="H20" s="2" t="inlineStr"/>
      <c r="I20" s="2" t="inlineStr"/>
      <c r="J20" s="2" t="inlineStr"/>
      <c r="K20" s="5" t="inlineStr"/>
      <c r="L20" s="2" t="inlineStr"/>
      <c r="M20" s="5" t="inlineStr"/>
      <c r="N20" s="5" t="inlineStr"/>
      <c r="O20" s="2" t="inlineStr">
        <is>
          <t>Oui</t>
        </is>
      </c>
      <c r="P20" s="2" t="inlineStr">
        <is>
          <t>—</t>
        </is>
      </c>
      <c r="Q20" s="2" t="inlineStr">
        <is>
          <t>moteur de pioche</t>
        </is>
      </c>
      <c r="R20" s="2" t="inlineStr">
        <is>
          <t>yuriko-watanabe.png</t>
        </is>
      </c>
      <c r="S20" s="5" t="inlineStr">
        <is>
          <t>stern japanese woman in an impeccable dark uniform standing in a vast white amphitheater as hundreds of holographic candidate portraits flicker out around her, only three still lit, her red pen paused over a list, cold daylight, league of legends splash art, highly detailed, cinematic lighting --no fantasy armor, text, watermark</t>
        </is>
      </c>
    </row>
    <row r="21">
      <c r="A21" s="2" t="inlineStr">
        <is>
          <t>R20</t>
        </is>
      </c>
      <c r="B21" s="2" t="inlineStr">
        <is>
          <t>genjiro-hayashi</t>
        </is>
      </c>
      <c r="C21" s="3" t="inlineStr">
        <is>
          <t>Forgée</t>
        </is>
      </c>
      <c r="D21" s="4" t="inlineStr">
        <is>
          <t>RIKKEN</t>
        </is>
      </c>
      <c r="E21" s="2" t="inlineStr">
        <is>
          <t>Légendaire</t>
        </is>
      </c>
      <c r="F21" s="2" t="inlineStr">
        <is>
          <t>Traveler</t>
        </is>
      </c>
      <c r="G21" s="2" t="n">
        <v>6</v>
      </c>
      <c r="H21" s="2" t="n">
        <v>4</v>
      </c>
      <c r="I21" s="2" t="n">
        <v>7</v>
      </c>
      <c r="J21" s="2" t="inlineStr">
        <is>
          <t>Proto-CELL · 2000</t>
        </is>
      </c>
      <c r="K21" s="5" t="inlineStr">
        <is>
          <t>Garde.</t>
        </is>
      </c>
      <c r="L21" s="2" t="n">
        <v>2</v>
      </c>
      <c r="M21" s="5" t="inlineStr">
        <is>
          <t>Onde percussive : inflige 2 dégâts à toutes les unités ennemies.</t>
        </is>
      </c>
      <c r="N21" s="5" t="inlineStr">
        <is>
          <t>Sa puissance use son passé. Il paye ses années sans discuter.</t>
        </is>
      </c>
      <c r="O21" s="2" t="inlineStr">
        <is>
          <t>Oui</t>
        </is>
      </c>
      <c r="P21" s="2" t="inlineStr">
        <is>
          <t>—</t>
        </is>
      </c>
      <c r="Q21" s="2" t="inlineStr">
        <is>
          <t>tank AoE (Garde)</t>
        </is>
      </c>
      <c r="R21" s="2" t="inlineStr">
        <is>
          <t>genjiro-hayashi.png</t>
        </is>
      </c>
      <c r="S21" s="5" t="inlineStr">
        <is>
          <t>huge japanese man in his sixties charging through a collapsing wall in a first-generation exosuit of patinated copper and brass, steam pistons venting, rubble bouncing off his shoulders, warm brass light through the dust, league of legends splash art, highly detailed, dynamic composition, cinematic lighting --no medieval knight armor, fantasy armor, text, watermark</t>
        </is>
      </c>
    </row>
    <row r="22">
      <c r="A22" s="2" t="inlineStr">
        <is>
          <t>R21</t>
        </is>
      </c>
      <c r="B22" s="2" t="inlineStr">
        <is>
          <t>liang-chen</t>
        </is>
      </c>
      <c r="C22" s="6" t="inlineStr">
        <is>
          <t>À générer</t>
        </is>
      </c>
      <c r="D22" s="4" t="inlineStr">
        <is>
          <t>RIKKEN</t>
        </is>
      </c>
      <c r="E22" s="2" t="inlineStr">
        <is>
          <t>Légendaire</t>
        </is>
      </c>
      <c r="F22" s="2" t="inlineStr">
        <is>
          <t>Traveler</t>
        </is>
      </c>
      <c r="G22" s="2" t="n">
        <v>7</v>
      </c>
      <c r="H22" s="2" t="inlineStr"/>
      <c r="I22" s="2" t="inlineStr"/>
      <c r="J22" s="2" t="inlineStr"/>
      <c r="K22" s="5" t="inlineStr"/>
      <c r="L22" s="2" t="inlineStr"/>
      <c r="M22" s="5" t="inlineStr"/>
      <c r="N22" s="5" t="inlineStr"/>
      <c r="O22" s="2" t="inlineStr">
        <is>
          <t>Oui</t>
        </is>
      </c>
      <c r="P22" s="2" t="inlineStr">
        <is>
          <t>—</t>
        </is>
      </c>
      <c r="Q22" s="2" t="inlineStr">
        <is>
          <t>top curve</t>
        </is>
      </c>
      <c r="R22" s="2" t="inlineStr">
        <is>
          <t>liang-chen.png</t>
        </is>
      </c>
      <c r="S22" s="5" t="inlineStr">
        <is>
          <t>broad-shouldered chinese man in a heavy matte black exosuit frozen at the instant his fist meets a flooded arena floor, a crown of water erupting around the impact, shockwave rings in the shallow water, floodlights refracting through the spray, league of legends splash art, highly detailed, dynamic composition, cinematic lighting --no fantasy armor, hulk, text, watermark</t>
        </is>
      </c>
    </row>
    <row r="23">
      <c r="A23" s="2" t="inlineStr">
        <is>
          <t>R22</t>
        </is>
      </c>
      <c r="B23" s="2" t="inlineStr">
        <is>
          <t>hugo-tachibana</t>
        </is>
      </c>
      <c r="C23" s="3" t="inlineStr">
        <is>
          <t>Forgée</t>
        </is>
      </c>
      <c r="D23" s="4" t="inlineStr">
        <is>
          <t>RIKKEN</t>
        </is>
      </c>
      <c r="E23" s="2" t="inlineStr">
        <is>
          <t>Prismatique</t>
        </is>
      </c>
      <c r="F23" s="2" t="inlineStr">
        <is>
          <t>Traveler</t>
        </is>
      </c>
      <c r="G23" s="2" t="n">
        <v>4</v>
      </c>
      <c r="H23" s="2" t="n">
        <v>3</v>
      </c>
      <c r="I23" s="2" t="n">
        <v>5</v>
      </c>
      <c r="J23" s="2" t="inlineStr">
        <is>
          <t>CELL-T</t>
        </is>
      </c>
      <c r="K23" s="5" t="inlineStr">
        <is>
          <t>À l'arrivée : piochez une carte si vous contrôlez un autre Traveler.</t>
        </is>
      </c>
      <c r="L23" s="2" t="n">
        <v>2</v>
      </c>
      <c r="M23" s="5" t="inlineStr">
        <is>
          <t>Copiez l'effet de Synchro d'un autre Traveler allié synchronisé.</t>
        </is>
      </c>
      <c r="N23" s="5" t="inlineStr">
        <is>
          <t>Ce que le suit absorbe, c'est ce que l'équipe lui apporte.</t>
        </is>
      </c>
      <c r="O23" s="2" t="inlineStr">
        <is>
          <t>Oui</t>
        </is>
      </c>
      <c r="P23" s="2" t="inlineStr">
        <is>
          <t>Z-07</t>
        </is>
      </c>
      <c r="Q23" s="2" t="inlineStr">
        <is>
          <t>signature (Synthèse)</t>
        </is>
      </c>
      <c r="R23" s="2" t="inlineStr">
        <is>
          <t>hugo-tachibana.png</t>
        </is>
      </c>
      <c r="S23" s="5" t="inlineStr">
        <is>
          <t>19 year old french-japanese young man with light beige hair and one red strand falling backward through a shattering sky of seven eras, fragments showing paris scaffolds, snowy trenches, feudal bridges and ice seas, his prototype exosuit syncing with multi-hued light, calm eyes reaching upward, golden circle glowing on his chest, league of legends splash art, highly detailed, dynamic composition, cinematic lighting --no fantasy armor, text, watermark</t>
        </is>
      </c>
    </row>
    <row r="24">
      <c r="A24" s="2" t="inlineStr">
        <is>
          <t>K01</t>
        </is>
      </c>
      <c r="B24" s="2" t="inlineStr">
        <is>
          <t>agent-kairos</t>
        </is>
      </c>
      <c r="C24" s="3" t="inlineStr">
        <is>
          <t>Forgée</t>
        </is>
      </c>
      <c r="D24" s="7" t="inlineStr">
        <is>
          <t>KAIROS</t>
        </is>
      </c>
      <c r="E24" s="2" t="inlineStr">
        <is>
          <t>Standard</t>
        </is>
      </c>
      <c r="F24" s="2" t="inlineStr">
        <is>
          <t>Traveler</t>
        </is>
      </c>
      <c r="G24" s="2" t="n">
        <v>2</v>
      </c>
      <c r="H24" s="2" t="n">
        <v>2</v>
      </c>
      <c r="I24" s="2" t="n">
        <v>3</v>
      </c>
      <c r="J24" s="2" t="inlineStr">
        <is>
          <t>Sans CELL déclaré</t>
        </is>
      </c>
      <c r="K24" s="5" t="inlineStr">
        <is>
          <t>À l'arrivée : regardez la main de votre adversaire.</t>
        </is>
      </c>
      <c r="L24" s="2" t="inlineStr"/>
      <c r="M24" s="5" t="inlineStr"/>
      <c r="N24" s="5" t="inlineStr">
        <is>
          <t>Son badge RIKKEN est authentique. C'est bien le problème.</t>
        </is>
      </c>
      <c r="O24" s="2" t="inlineStr">
        <is>
          <t>Non</t>
        </is>
      </c>
      <c r="P24" s="2" t="inlineStr">
        <is>
          <t>—</t>
        </is>
      </c>
      <c r="Q24" s="2" t="inlineStr">
        <is>
          <t>info early</t>
        </is>
      </c>
      <c r="R24" s="2" t="inlineStr">
        <is>
          <t>agent-kairos.png</t>
        </is>
      </c>
      <c r="S24" s="5" t="inlineStr">
        <is>
          <t>unremarkable agent in RIKKEN staff uniform walking through a crowded bright lobby, every other person motion-blurred, his badge catching a tiny red glint, cold daylight through glass, league of legends splash art, highly detailed, cinematic lighting --no fantasy armor, text, watermark</t>
        </is>
      </c>
    </row>
    <row r="25">
      <c r="A25" s="2" t="inlineStr">
        <is>
          <t>K02</t>
        </is>
      </c>
      <c r="B25" s="2" t="inlineStr">
        <is>
          <t>taupe-du-recrutement</t>
        </is>
      </c>
      <c r="C25" s="6" t="inlineStr">
        <is>
          <t>À générer</t>
        </is>
      </c>
      <c r="D25" s="7" t="inlineStr">
        <is>
          <t>KAIROS</t>
        </is>
      </c>
      <c r="E25" s="2" t="inlineStr">
        <is>
          <t>Standard</t>
        </is>
      </c>
      <c r="F25" s="2" t="inlineStr">
        <is>
          <t>Traveler</t>
        </is>
      </c>
      <c r="G25" s="2" t="n">
        <v>1</v>
      </c>
      <c r="H25" s="2" t="inlineStr"/>
      <c r="I25" s="2" t="inlineStr"/>
      <c r="J25" s="2" t="inlineStr"/>
      <c r="K25" s="5" t="inlineStr"/>
      <c r="L25" s="2" t="inlineStr"/>
      <c r="M25" s="5" t="inlineStr"/>
      <c r="N25" s="5" t="inlineStr"/>
      <c r="O25" s="2" t="inlineStr">
        <is>
          <t>Non</t>
        </is>
      </c>
      <c r="P25" s="2" t="inlineStr">
        <is>
          <t>—</t>
        </is>
      </c>
      <c r="Q25" s="2" t="inlineStr">
        <is>
          <t>early agressif</t>
        </is>
      </c>
      <c r="R25" s="2" t="inlineStr">
        <is>
          <t>taupe-du-recrutement.png</t>
        </is>
      </c>
      <c r="S25" s="5" t="inlineStr">
        <is>
          <t>young candidate sprinting a fitness test among other recruits in a bright training hall, all straining except him, effortless, eyes sliding sideways toward the viewer, one thin red thread bracelet, harsh white light, league of legends splash art, highly detailed, dynamic composition, cinematic lighting --no fantasy armor, text, watermark</t>
        </is>
      </c>
    </row>
    <row r="26">
      <c r="A26" s="2" t="inlineStr">
        <is>
          <t>K03</t>
        </is>
      </c>
      <c r="B26" s="2" t="inlineStr">
        <is>
          <t>executant-de-nuit</t>
        </is>
      </c>
      <c r="C26" s="6" t="inlineStr">
        <is>
          <t>À générer</t>
        </is>
      </c>
      <c r="D26" s="7" t="inlineStr">
        <is>
          <t>KAIROS</t>
        </is>
      </c>
      <c r="E26" s="2" t="inlineStr">
        <is>
          <t>Standard</t>
        </is>
      </c>
      <c r="F26" s="2" t="inlineStr">
        <is>
          <t>Traveler</t>
        </is>
      </c>
      <c r="G26" s="2" t="n">
        <v>2</v>
      </c>
      <c r="H26" s="2" t="inlineStr"/>
      <c r="I26" s="2" t="inlineStr"/>
      <c r="J26" s="2" t="inlineStr"/>
      <c r="K26" s="5" t="inlineStr"/>
      <c r="L26" s="2" t="inlineStr"/>
      <c r="M26" s="5" t="inlineStr"/>
      <c r="N26" s="5" t="inlineStr"/>
      <c r="O26" s="2" t="inlineStr">
        <is>
          <t>Non</t>
        </is>
      </c>
      <c r="P26" s="2" t="inlineStr">
        <is>
          <t>—</t>
        </is>
      </c>
      <c r="Q26" s="2" t="inlineStr">
        <is>
          <t>trade</t>
        </is>
      </c>
      <c r="R26" s="2" t="inlineStr">
        <is>
          <t>executant-de-nuit.png</t>
        </is>
      </c>
      <c r="S26" s="5" t="inlineStr">
        <is>
          <t>operative in a stolen matte black exosuit dropping from a ceiling vent into a server aisle, coat flaring, red miscalibrated seams sputtering, cool blue server glow below him, league of legends splash art, highly detailed, dynamic composition, cinematic lighting --no fantasy armor, text, watermark</t>
        </is>
      </c>
    </row>
    <row r="27">
      <c r="A27" s="2" t="inlineStr">
        <is>
          <t>K04</t>
        </is>
      </c>
      <c r="B27" s="2" t="inlineStr">
        <is>
          <t>guetteur-du-moment</t>
        </is>
      </c>
      <c r="C27" s="6" t="inlineStr">
        <is>
          <t>À générer</t>
        </is>
      </c>
      <c r="D27" s="7" t="inlineStr">
        <is>
          <t>KAIROS</t>
        </is>
      </c>
      <c r="E27" s="2" t="inlineStr">
        <is>
          <t>Standard</t>
        </is>
      </c>
      <c r="F27" s="2" t="inlineStr">
        <is>
          <t>Traveler</t>
        </is>
      </c>
      <c r="G27" s="2" t="n">
        <v>3</v>
      </c>
      <c r="H27" s="2" t="inlineStr"/>
      <c r="I27" s="2" t="inlineStr"/>
      <c r="J27" s="2" t="inlineStr"/>
      <c r="K27" s="5" t="inlineStr"/>
      <c r="L27" s="2" t="inlineStr"/>
      <c r="M27" s="5" t="inlineStr"/>
      <c r="N27" s="5" t="inlineStr"/>
      <c r="O27" s="2" t="inlineStr">
        <is>
          <t>Non</t>
        </is>
      </c>
      <c r="P27" s="2" t="inlineStr">
        <is>
          <t>—</t>
        </is>
      </c>
      <c r="Q27" s="2" t="inlineStr">
        <is>
          <t>punisher anti-Synchro</t>
        </is>
      </c>
      <c r="R27" s="2" t="inlineStr">
        <is>
          <t>guetteur-du-moment.png</t>
        </is>
      </c>
      <c r="S27" s="5" t="inlineStr">
        <is>
          <t>patient watcher in dark civilian clothes sitting on the roof of a ferris wheel cabin at dusk over tokyo bay, binoculars resting on his knee, wind in his coat, the fairground lights violet and gold below, one red beacon blinking far across the water, league of legends splash art, highly detailed, cinematic lighting --no fantasy armor, text, watermark</t>
        </is>
      </c>
    </row>
    <row r="28">
      <c r="A28" s="2" t="inlineStr">
        <is>
          <t>K05</t>
        </is>
      </c>
      <c r="B28" s="2" t="inlineStr">
        <is>
          <t>porteur-de-cell-vole</t>
        </is>
      </c>
      <c r="C28" s="3" t="inlineStr">
        <is>
          <t>Forgée</t>
        </is>
      </c>
      <c r="D28" s="7" t="inlineStr">
        <is>
          <t>KAIROS</t>
        </is>
      </c>
      <c r="E28" s="2" t="inlineStr">
        <is>
          <t>Standard</t>
        </is>
      </c>
      <c r="F28" s="2" t="inlineStr">
        <is>
          <t>Traveler</t>
        </is>
      </c>
      <c r="G28" s="2" t="n">
        <v>3</v>
      </c>
      <c r="H28" s="2" t="n">
        <v>3</v>
      </c>
      <c r="I28" s="2" t="n">
        <v>2</v>
      </c>
      <c r="J28" s="2" t="inlineStr">
        <is>
          <t>CELL volé · sans registre</t>
        </is>
      </c>
      <c r="K28" s="5" t="inlineStr">
        <is>
          <t>Célérité.</t>
        </is>
      </c>
      <c r="L28" s="2" t="inlineStr"/>
      <c r="M28" s="5" t="inlineStr"/>
      <c r="N28" s="5" t="inlineStr">
        <is>
          <t>Le suit grésille. Il s'en fout.</t>
        </is>
      </c>
      <c r="O28" s="2" t="inlineStr">
        <is>
          <t>Non</t>
        </is>
      </c>
      <c r="P28" s="2" t="inlineStr">
        <is>
          <t>—</t>
        </is>
      </c>
      <c r="Q28" s="2" t="inlineStr">
        <is>
          <t>agressif</t>
        </is>
      </c>
      <c r="R28" s="2" t="inlineStr">
        <is>
          <t>porteur-de-cell-vole.png</t>
        </is>
      </c>
      <c r="S28" s="5" t="inlineStr">
        <is>
          <t>kairos fighter in a mismatched bolted exosuit charging straight at the viewer down a parking ramp, sparks bursting from misfiring red calf conduits, sodium lights streaking overhead, league of legends splash art, highly detailed, dynamic composition, cinematic lighting --no fantasy armor, text, watermark</t>
        </is>
      </c>
    </row>
    <row r="29">
      <c r="A29" s="2" t="inlineStr">
        <is>
          <t>K06</t>
        </is>
      </c>
      <c r="B29" s="2" t="inlineStr">
        <is>
          <t>nettoyeuse</t>
        </is>
      </c>
      <c r="C29" s="6" t="inlineStr">
        <is>
          <t>À générer</t>
        </is>
      </c>
      <c r="D29" s="7" t="inlineStr">
        <is>
          <t>KAIROS</t>
        </is>
      </c>
      <c r="E29" s="2" t="inlineStr">
        <is>
          <t>Standard</t>
        </is>
      </c>
      <c r="F29" s="2" t="inlineStr">
        <is>
          <t>Traveler</t>
        </is>
      </c>
      <c r="G29" s="2" t="n">
        <v>4</v>
      </c>
      <c r="H29" s="2" t="inlineStr"/>
      <c r="I29" s="2" t="inlineStr"/>
      <c r="J29" s="2" t="inlineStr"/>
      <c r="K29" s="5" t="inlineStr"/>
      <c r="L29" s="2" t="inlineStr"/>
      <c r="M29" s="5" t="inlineStr"/>
      <c r="N29" s="5" t="inlineStr"/>
      <c r="O29" s="2" t="inlineStr">
        <is>
          <t>Non</t>
        </is>
      </c>
      <c r="P29" s="2" t="inlineStr">
        <is>
          <t>—</t>
        </is>
      </c>
      <c r="Q29" s="2" t="inlineStr">
        <is>
          <t>dégâts ciblés</t>
        </is>
      </c>
      <c r="R29" s="2" t="inlineStr">
        <is>
          <t>nettoyeuse.png</t>
        </is>
      </c>
      <c r="S29" s="5" t="inlineStr">
        <is>
          <t>cold professional woman in a tailored coat walking away from a hotel entrance through light rain, steel case in hand, neon reds and cyans smearing in the wet street around her unhurried stride, league of legends splash art, highly detailed, cinematic lighting --no fantasy armor, blood, text, watermark</t>
        </is>
      </c>
    </row>
    <row r="30">
      <c r="A30" s="2" t="inlineStr">
        <is>
          <t>K07</t>
        </is>
      </c>
      <c r="B30" s="2" t="inlineStr">
        <is>
          <t>cadre-corrompu</t>
        </is>
      </c>
      <c r="C30" s="6" t="inlineStr">
        <is>
          <t>À générer</t>
        </is>
      </c>
      <c r="D30" s="7" t="inlineStr">
        <is>
          <t>KAIROS</t>
        </is>
      </c>
      <c r="E30" s="2" t="inlineStr">
        <is>
          <t>Standard</t>
        </is>
      </c>
      <c r="F30" s="2" t="inlineStr">
        <is>
          <t>Traveler</t>
        </is>
      </c>
      <c r="G30" s="2" t="n">
        <v>5</v>
      </c>
      <c r="H30" s="2" t="inlineStr"/>
      <c r="I30" s="2" t="inlineStr"/>
      <c r="J30" s="2" t="inlineStr"/>
      <c r="K30" s="5" t="inlineStr"/>
      <c r="L30" s="2" t="inlineStr"/>
      <c r="M30" s="5" t="inlineStr"/>
      <c r="N30" s="5" t="inlineStr"/>
      <c r="O30" s="2" t="inlineStr">
        <is>
          <t>Non</t>
        </is>
      </c>
      <c r="P30" s="2" t="inlineStr">
        <is>
          <t>—</t>
        </is>
      </c>
      <c r="Q30" s="2" t="inlineStr">
        <is>
          <t>milieu</t>
        </is>
      </c>
      <c r="R30" s="2" t="inlineStr">
        <is>
          <t>cadre-corrompu.png</t>
        </is>
      </c>
      <c r="S30" s="5" t="inlineStr">
        <is>
          <t>executive signing documents at a boardroom table in golden hour light high above tokyo, his fountain pen scratching, a faint red emergency glow from the city reflected in the glass behind him, league of legends splash art, highly detailed, cinematic lighting --no fantasy armor, text, watermark</t>
        </is>
      </c>
    </row>
    <row r="31">
      <c r="A31" s="2" t="inlineStr">
        <is>
          <t>K08</t>
        </is>
      </c>
      <c r="B31" s="2" t="inlineStr">
        <is>
          <t>chantage</t>
        </is>
      </c>
      <c r="C31" s="6" t="inlineStr">
        <is>
          <t>À générer</t>
        </is>
      </c>
      <c r="D31" s="7" t="inlineStr">
        <is>
          <t>KAIROS</t>
        </is>
      </c>
      <c r="E31" s="2" t="inlineStr">
        <is>
          <t>Standard</t>
        </is>
      </c>
      <c r="F31" s="2" t="inlineStr">
        <is>
          <t>Protocole</t>
        </is>
      </c>
      <c r="G31" s="2" t="n">
        <v>1</v>
      </c>
      <c r="H31" s="2" t="inlineStr"/>
      <c r="I31" s="2" t="inlineStr"/>
      <c r="J31" s="2" t="inlineStr"/>
      <c r="K31" s="5" t="inlineStr"/>
      <c r="L31" s="2" t="inlineStr"/>
      <c r="M31" s="5" t="inlineStr"/>
      <c r="N31" s="5" t="inlineStr"/>
      <c r="O31" s="2" t="inlineStr">
        <is>
          <t>Non</t>
        </is>
      </c>
      <c r="P31" s="2" t="inlineStr">
        <is>
          <t>—</t>
        </is>
      </c>
      <c r="Q31" s="2" t="inlineStr">
        <is>
          <t>cantrip info</t>
        </is>
      </c>
      <c r="R31" s="2" t="inlineStr">
        <is>
          <t>chantage.png</t>
        </is>
      </c>
      <c r="S31" s="5" t="inlineStr">
        <is>
          <t>close-up of a gloved hand passing a red-sealed dossier between seats of a moving maglev train, countryside smearing past the window in morning light, the other hand hesitating, league of legends splash art, highly detailed, cinematic lighting --no fantasy magic, text, watermark</t>
        </is>
      </c>
    </row>
    <row r="32">
      <c r="A32" s="2" t="inlineStr">
        <is>
          <t>K09</t>
        </is>
      </c>
      <c r="B32" s="2" t="inlineStr">
        <is>
          <t>sabotage-de-plateforme</t>
        </is>
      </c>
      <c r="C32" s="6" t="inlineStr">
        <is>
          <t>À générer</t>
        </is>
      </c>
      <c r="D32" s="7" t="inlineStr">
        <is>
          <t>KAIROS</t>
        </is>
      </c>
      <c r="E32" s="2" t="inlineStr">
        <is>
          <t>Standard</t>
        </is>
      </c>
      <c r="F32" s="2" t="inlineStr">
        <is>
          <t>Protocole</t>
        </is>
      </c>
      <c r="G32" s="2" t="n">
        <v>3</v>
      </c>
      <c r="H32" s="2" t="inlineStr"/>
      <c r="I32" s="2" t="inlineStr"/>
      <c r="J32" s="2" t="inlineStr"/>
      <c r="K32" s="5" t="inlineStr"/>
      <c r="L32" s="2" t="inlineStr"/>
      <c r="M32" s="5" t="inlineStr"/>
      <c r="N32" s="5" t="inlineStr"/>
      <c r="O32" s="2" t="inlineStr">
        <is>
          <t>Non</t>
        </is>
      </c>
      <c r="P32" s="2" t="inlineStr">
        <is>
          <t>—</t>
        </is>
      </c>
      <c r="Q32" s="2" t="inlineStr">
        <is>
          <t>removal</t>
        </is>
      </c>
      <c r="R32" s="2" t="inlineStr">
        <is>
          <t>sabotage-de-plateforme.png</t>
        </is>
      </c>
      <c r="S32" s="5" t="inlineStr">
        <is>
          <t>silhouette walking calmly toward the viewer as a transfer platform erupts in blue sparks and dying light behind, red strobes sweeping the smoke, shards raining, league of legends splash art, highly detailed, dynamic composition, cinematic lighting --no explosion fireball, text, watermark</t>
        </is>
      </c>
    </row>
    <row r="33">
      <c r="A33" s="2" t="inlineStr">
        <is>
          <t>K10</t>
        </is>
      </c>
      <c r="B33" s="2" t="inlineStr">
        <is>
          <t>brouilleuse</t>
        </is>
      </c>
      <c r="C33" s="6" t="inlineStr">
        <is>
          <t>À générer</t>
        </is>
      </c>
      <c r="D33" s="7" t="inlineStr">
        <is>
          <t>KAIROS</t>
        </is>
      </c>
      <c r="E33" s="2" t="inlineStr">
        <is>
          <t>Rare</t>
        </is>
      </c>
      <c r="F33" s="2" t="inlineStr">
        <is>
          <t>Traveler</t>
        </is>
      </c>
      <c r="G33" s="2" t="n">
        <v>2</v>
      </c>
      <c r="H33" s="2" t="inlineStr"/>
      <c r="I33" s="2" t="inlineStr"/>
      <c r="J33" s="2" t="inlineStr"/>
      <c r="K33" s="5" t="inlineStr"/>
      <c r="L33" s="2" t="inlineStr"/>
      <c r="M33" s="5" t="inlineStr"/>
      <c r="N33" s="5" t="inlineStr"/>
      <c r="O33" s="2" t="inlineStr">
        <is>
          <t>Non</t>
        </is>
      </c>
      <c r="P33" s="2" t="inlineStr">
        <is>
          <t>—</t>
        </is>
      </c>
      <c r="Q33" s="2" t="inlineStr">
        <is>
          <t>anti-Synchro</t>
        </is>
      </c>
      <c r="R33" s="2" t="inlineStr">
        <is>
          <t>brouilleuse.png</t>
        </is>
      </c>
      <c r="S33" s="5" t="inlineStr">
        <is>
          <t>female kairos operative crouched on the roof of a speeding maglev at night deploying a red pulse emitter, the interference wave rippling backward along the train as blue window lights die car by car, wind tearing at her coat, league of legends splash art, highly detailed, dynamic composition, cinematic lighting --no fantasy armor, text, watermark</t>
        </is>
      </c>
    </row>
    <row r="34">
      <c r="A34" s="2" t="inlineStr">
        <is>
          <t>K11</t>
        </is>
      </c>
      <c r="B34" s="2" t="inlineStr">
        <is>
          <t>duelliste-cell-tempest</t>
        </is>
      </c>
      <c r="C34" s="6" t="inlineStr">
        <is>
          <t>À générer</t>
        </is>
      </c>
      <c r="D34" s="7" t="inlineStr">
        <is>
          <t>KAIROS</t>
        </is>
      </c>
      <c r="E34" s="2" t="inlineStr">
        <is>
          <t>Rare</t>
        </is>
      </c>
      <c r="F34" s="2" t="inlineStr">
        <is>
          <t>Traveler</t>
        </is>
      </c>
      <c r="G34" s="2" t="n">
        <v>3</v>
      </c>
      <c r="H34" s="2" t="inlineStr"/>
      <c r="I34" s="2" t="inlineStr"/>
      <c r="J34" s="2" t="inlineStr"/>
      <c r="K34" s="5" t="inlineStr"/>
      <c r="L34" s="2" t="inlineStr"/>
      <c r="M34" s="5" t="inlineStr"/>
      <c r="N34" s="5" t="inlineStr"/>
      <c r="O34" s="2" t="inlineStr">
        <is>
          <t>Non</t>
        </is>
      </c>
      <c r="P34" s="2" t="inlineStr">
        <is>
          <t>—</t>
        </is>
      </c>
      <c r="Q34" s="2" t="inlineStr">
        <is>
          <t>tempo</t>
        </is>
      </c>
      <c r="R34" s="2" t="inlineStr">
        <is>
          <t>duelliste-cell-tempest.png</t>
        </is>
      </c>
      <c r="S34" s="5" t="inlineStr">
        <is>
          <t>lean duelist in a stolen matte black exosuit lunging across a rain-flooded intersection at night, white-blue arc light trailing his gauntlet, red capacitor seams blazing down his spine, neon reflections shattering under his splash, league of legends splash art, highly detailed, dynamic composition, cinematic lighting --no fantasy armor, lightning storm, text, watermark</t>
        </is>
      </c>
    </row>
    <row r="35">
      <c r="A35" s="2" t="inlineStr">
        <is>
          <t>K12</t>
        </is>
      </c>
      <c r="B35" s="2" t="inlineStr">
        <is>
          <t>recruteur-double</t>
        </is>
      </c>
      <c r="C35" s="6" t="inlineStr">
        <is>
          <t>À générer</t>
        </is>
      </c>
      <c r="D35" s="7" t="inlineStr">
        <is>
          <t>KAIROS</t>
        </is>
      </c>
      <c r="E35" s="2" t="inlineStr">
        <is>
          <t>Rare</t>
        </is>
      </c>
      <c r="F35" s="2" t="inlineStr">
        <is>
          <t>Traveler</t>
        </is>
      </c>
      <c r="G35" s="2" t="n">
        <v>4</v>
      </c>
      <c r="H35" s="2" t="inlineStr"/>
      <c r="I35" s="2" t="inlineStr"/>
      <c r="J35" s="2" t="inlineStr"/>
      <c r="K35" s="5" t="inlineStr"/>
      <c r="L35" s="2" t="inlineStr"/>
      <c r="M35" s="5" t="inlineStr"/>
      <c r="N35" s="5" t="inlineStr"/>
      <c r="O35" s="2" t="inlineStr">
        <is>
          <t>Non</t>
        </is>
      </c>
      <c r="P35" s="2" t="inlineStr">
        <is>
          <t>—</t>
        </is>
      </c>
      <c r="Q35" s="2" t="inlineStr">
        <is>
          <t>valeur / info</t>
        </is>
      </c>
      <c r="R35" s="2" t="inlineStr">
        <is>
          <t>recruteur-double.png</t>
        </is>
      </c>
      <c r="S35" s="5" t="inlineStr">
        <is>
          <t>charming recruiter guiding a nervous candidate down a bright corridor, arm around his shoulder, practiced warm smile, a red pen spinning in his free hand behind his back, morning light, league of legends splash art, highly detailed, cinematic lighting --no fantasy armor, text, watermark</t>
        </is>
      </c>
    </row>
    <row r="36">
      <c r="A36" s="2" t="inlineStr">
        <is>
          <t>K13</t>
        </is>
      </c>
      <c r="B36" s="2" t="inlineStr">
        <is>
          <t>colosse-de-laile-grise</t>
        </is>
      </c>
      <c r="C36" s="6" t="inlineStr">
        <is>
          <t>À générer</t>
        </is>
      </c>
      <c r="D36" s="7" t="inlineStr">
        <is>
          <t>KAIROS</t>
        </is>
      </c>
      <c r="E36" s="2" t="inlineStr">
        <is>
          <t>Rare</t>
        </is>
      </c>
      <c r="F36" s="2" t="inlineStr">
        <is>
          <t>Traveler</t>
        </is>
      </c>
      <c r="G36" s="2" t="n">
        <v>5</v>
      </c>
      <c r="H36" s="2" t="inlineStr"/>
      <c r="I36" s="2" t="inlineStr"/>
      <c r="J36" s="2" t="inlineStr"/>
      <c r="K36" s="5" t="inlineStr"/>
      <c r="L36" s="2" t="inlineStr"/>
      <c r="M36" s="5" t="inlineStr"/>
      <c r="N36" s="5" t="inlineStr"/>
      <c r="O36" s="2" t="inlineStr">
        <is>
          <t>Non</t>
        </is>
      </c>
      <c r="P36" s="2" t="inlineStr">
        <is>
          <t>Aile Grise</t>
        </is>
      </c>
      <c r="Q36" s="2" t="inlineStr">
        <is>
          <t>menace</t>
        </is>
      </c>
      <c r="R36" s="2" t="inlineStr">
        <is>
          <t>colosse-de-laile-grise.png</t>
        </is>
      </c>
      <c r="S36" s="5" t="inlineStr">
        <is>
          <t>huge enforcer in a reinforced matte black exosuit shouldering through a concrete wall, rebar bending around him, dust exploding into shafts of basement sunlight, red compression bands glowing on his knuckles, league of legends splash art, highly detailed, dynamic composition, cinematic lighting --no fantasy armor, hulk, giant robot, text, watermark</t>
        </is>
      </c>
    </row>
    <row r="37">
      <c r="A37" s="2" t="inlineStr">
        <is>
          <t>K14</t>
        </is>
      </c>
      <c r="B37" s="2" t="inlineStr">
        <is>
          <t>brouillage</t>
        </is>
      </c>
      <c r="C37" s="6" t="inlineStr">
        <is>
          <t>À générer</t>
        </is>
      </c>
      <c r="D37" s="7" t="inlineStr">
        <is>
          <t>KAIROS</t>
        </is>
      </c>
      <c r="E37" s="2" t="inlineStr">
        <is>
          <t>Rare</t>
        </is>
      </c>
      <c r="F37" s="2" t="inlineStr">
        <is>
          <t>Protocole</t>
        </is>
      </c>
      <c r="G37" s="2" t="n">
        <v>2</v>
      </c>
      <c r="H37" s="2" t="inlineStr"/>
      <c r="I37" s="2" t="inlineStr"/>
      <c r="J37" s="2" t="inlineStr"/>
      <c r="K37" s="5" t="inlineStr"/>
      <c r="L37" s="2" t="inlineStr"/>
      <c r="M37" s="5" t="inlineStr"/>
      <c r="N37" s="5" t="inlineStr"/>
      <c r="O37" s="2" t="inlineStr">
        <is>
          <t>Non</t>
        </is>
      </c>
      <c r="P37" s="2" t="inlineStr">
        <is>
          <t>—</t>
        </is>
      </c>
      <c r="Q37" s="2" t="inlineStr">
        <is>
          <t>anti-Synchro</t>
        </is>
      </c>
      <c r="R37" s="2" t="inlineStr">
        <is>
          <t>brouillage.png</t>
        </is>
      </c>
      <c r="S37" s="5" t="inlineStr">
        <is>
          <t>a traveler stumbling mid-sprint as his blue suit seams shatter into static, a translucent red wave passing through the frame, his momentum carrying him toward the ground, dusk street, league of legends splash art, highly detailed, dynamic composition, cinematic lighting --no fantasy magic, text, watermark</t>
        </is>
      </c>
    </row>
    <row r="38">
      <c r="A38" s="2" t="inlineStr">
        <is>
          <t>K15</t>
        </is>
      </c>
      <c r="B38" s="2" t="inlineStr">
        <is>
          <t>extraction-forcee</t>
        </is>
      </c>
      <c r="C38" s="6" t="inlineStr">
        <is>
          <t>À générer</t>
        </is>
      </c>
      <c r="D38" s="7" t="inlineStr">
        <is>
          <t>KAIROS</t>
        </is>
      </c>
      <c r="E38" s="2" t="inlineStr">
        <is>
          <t>Rare</t>
        </is>
      </c>
      <c r="F38" s="2" t="inlineStr">
        <is>
          <t>Protocole</t>
        </is>
      </c>
      <c r="G38" s="2" t="n">
        <v>4</v>
      </c>
      <c r="H38" s="2" t="inlineStr"/>
      <c r="I38" s="2" t="inlineStr"/>
      <c r="J38" s="2" t="inlineStr"/>
      <c r="K38" s="5" t="inlineStr"/>
      <c r="L38" s="2" t="inlineStr"/>
      <c r="M38" s="5" t="inlineStr"/>
      <c r="N38" s="5" t="inlineStr"/>
      <c r="O38" s="2" t="inlineStr">
        <is>
          <t>Non</t>
        </is>
      </c>
      <c r="P38" s="2" t="inlineStr">
        <is>
          <t>—</t>
        </is>
      </c>
      <c r="Q38" s="2" t="inlineStr">
        <is>
          <t>removal lourd</t>
        </is>
      </c>
      <c r="R38" s="2" t="inlineStr">
        <is>
          <t>extraction-forcee.png</t>
        </is>
      </c>
      <c r="S38" s="5" t="inlineStr">
        <is>
          <t>man yanked backward off his feet into a tear of red-black static above a sunlit historical market street, fruit scattering from a knocked stall, bystanders frozen unaware, warm bronze daylight against the cold red tear, league of legends splash art, highly detailed, dynamic composition, cinematic lighting --no gore, text, watermark</t>
        </is>
      </c>
    </row>
    <row r="39">
      <c r="A39" s="2" t="inlineStr">
        <is>
          <t>K16</t>
        </is>
      </c>
      <c r="B39" s="2" t="inlineStr">
        <is>
          <t>pilleuse-depoques</t>
        </is>
      </c>
      <c r="C39" s="6" t="inlineStr">
        <is>
          <t>À générer</t>
        </is>
      </c>
      <c r="D39" s="7" t="inlineStr">
        <is>
          <t>KAIROS</t>
        </is>
      </c>
      <c r="E39" s="2" t="inlineStr">
        <is>
          <t>Épique</t>
        </is>
      </c>
      <c r="F39" s="2" t="inlineStr">
        <is>
          <t>Traveler</t>
        </is>
      </c>
      <c r="G39" s="2" t="n">
        <v>4</v>
      </c>
      <c r="H39" s="2" t="inlineStr"/>
      <c r="I39" s="2" t="inlineStr"/>
      <c r="J39" s="2" t="inlineStr"/>
      <c r="K39" s="5" t="inlineStr"/>
      <c r="L39" s="2" t="inlineStr"/>
      <c r="M39" s="5" t="inlineStr"/>
      <c r="N39" s="5" t="inlineStr"/>
      <c r="O39" s="2" t="inlineStr">
        <is>
          <t>Non</t>
        </is>
      </c>
      <c r="P39" s="2" t="inlineStr">
        <is>
          <t>zones aveugles</t>
        </is>
      </c>
      <c r="Q39" s="2" t="inlineStr">
        <is>
          <t>voleur</t>
        </is>
      </c>
      <c r="R39" s="2" t="inlineStr">
        <is>
          <t>pilleuse-depoques.png</t>
        </is>
      </c>
      <c r="S39" s="5" t="inlineStr">
        <is>
          <t>female kairos agent sprinting out of a bronze fog battlefield clutching a red-lit relic case, mud kicking from her boots, ghostly still silhouettes of the era watching motionless from the mist behind her, league of legends splash art, highly detailed, dynamic composition, cinematic lighting --no fantasy armor, gore, text, watermark</t>
        </is>
      </c>
    </row>
    <row r="40">
      <c r="A40" s="2" t="inlineStr">
        <is>
          <t>K17</t>
        </is>
      </c>
      <c r="B40" s="2" t="inlineStr">
        <is>
          <t>interrogateur-du-drft</t>
        </is>
      </c>
      <c r="C40" s="6" t="inlineStr">
        <is>
          <t>À générer</t>
        </is>
      </c>
      <c r="D40" s="7" t="inlineStr">
        <is>
          <t>KAIROS</t>
        </is>
      </c>
      <c r="E40" s="2" t="inlineStr">
        <is>
          <t>Épique</t>
        </is>
      </c>
      <c r="F40" s="2" t="inlineStr">
        <is>
          <t>Traveler</t>
        </is>
      </c>
      <c r="G40" s="2" t="n">
        <v>5</v>
      </c>
      <c r="H40" s="2" t="inlineStr"/>
      <c r="I40" s="2" t="inlineStr"/>
      <c r="J40" s="2" t="inlineStr"/>
      <c r="K40" s="5" t="inlineStr"/>
      <c r="L40" s="2" t="inlineStr"/>
      <c r="M40" s="5" t="inlineStr"/>
      <c r="N40" s="5" t="inlineStr"/>
      <c r="O40" s="2" t="inlineStr">
        <is>
          <t>Non</t>
        </is>
      </c>
      <c r="P40" s="2" t="inlineStr">
        <is>
          <t>—</t>
        </is>
      </c>
      <c r="Q40" s="2" t="inlineStr">
        <is>
          <t>contrôle</t>
        </is>
      </c>
      <c r="R40" s="2" t="inlineStr">
        <is>
          <t>interrogateur-du-drft.png</t>
        </is>
      </c>
      <c r="S40" s="5" t="inlineStr">
        <is>
          <t>interrogator in an immaculate dark uniform circling an empty steel chair in a blinding white room, one gloved hand trailing along its back, his long shadow sweeping the floor, a single red recording light, league of legends splash art, highly detailed, cinematic lighting --no fantasy armor, text, watermark</t>
        </is>
      </c>
    </row>
    <row r="41">
      <c r="A41" s="2" t="inlineStr">
        <is>
          <t>K18</t>
        </is>
      </c>
      <c r="B41" s="2" t="inlineStr">
        <is>
          <t>porteur-cell-codex</t>
        </is>
      </c>
      <c r="C41" s="6" t="inlineStr">
        <is>
          <t>À générer</t>
        </is>
      </c>
      <c r="D41" s="7" t="inlineStr">
        <is>
          <t>KAIROS</t>
        </is>
      </c>
      <c r="E41" s="2" t="inlineStr">
        <is>
          <t>Épique</t>
        </is>
      </c>
      <c r="F41" s="2" t="inlineStr">
        <is>
          <t>Traveler</t>
        </is>
      </c>
      <c r="G41" s="2" t="n">
        <v>6</v>
      </c>
      <c r="H41" s="2" t="inlineStr"/>
      <c r="I41" s="2" t="inlineStr"/>
      <c r="J41" s="2" t="inlineStr"/>
      <c r="K41" s="5" t="inlineStr"/>
      <c r="L41" s="2" t="inlineStr"/>
      <c r="M41" s="5" t="inlineStr"/>
      <c r="N41" s="5" t="inlineStr"/>
      <c r="O41" s="2" t="inlineStr">
        <is>
          <t>Non</t>
        </is>
      </c>
      <c r="P41" s="2" t="inlineStr">
        <is>
          <t>—</t>
        </is>
      </c>
      <c r="Q41" s="2" t="inlineStr">
        <is>
          <t>finisher</t>
        </is>
      </c>
      <c r="R41" s="2" t="inlineStr">
        <is>
          <t>porteur-cell-codex.png</t>
        </is>
      </c>
      <c r="S41" s="5" t="inlineStr">
        <is>
          <t>kairos operative standing on a data-center rooftop at night, arms open as his drone swarm spirals upward into a towering red constellation column above the city, cyan server glow venting from the roof hatches, league of legends splash art, highly detailed, dynamic composition, cinematic lighting --no fantasy armor, text, watermark</t>
        </is>
      </c>
    </row>
    <row r="42">
      <c r="A42" s="2" t="inlineStr">
        <is>
          <t>K19</t>
        </is>
      </c>
      <c r="B42" s="2" t="inlineStr">
        <is>
          <t>le-moment-opportun</t>
        </is>
      </c>
      <c r="C42" s="6" t="inlineStr">
        <is>
          <t>À générer</t>
        </is>
      </c>
      <c r="D42" s="7" t="inlineStr">
        <is>
          <t>KAIROS</t>
        </is>
      </c>
      <c r="E42" s="2" t="inlineStr">
        <is>
          <t>Épique</t>
        </is>
      </c>
      <c r="F42" s="2" t="inlineStr">
        <is>
          <t>Protocole</t>
        </is>
      </c>
      <c r="G42" s="2" t="n">
        <v>5</v>
      </c>
      <c r="H42" s="2" t="inlineStr"/>
      <c r="I42" s="2" t="inlineStr"/>
      <c r="J42" s="2" t="inlineStr"/>
      <c r="K42" s="5" t="inlineStr"/>
      <c r="L42" s="2" t="inlineStr"/>
      <c r="M42" s="5" t="inlineStr"/>
      <c r="N42" s="5" t="inlineStr"/>
      <c r="O42" s="2" t="inlineStr">
        <is>
          <t>Non</t>
        </is>
      </c>
      <c r="P42" s="2" t="inlineStr">
        <is>
          <t>Z-07 ?</t>
        </is>
      </c>
      <c r="Q42" s="2" t="inlineStr">
        <is>
          <t>swing</t>
        </is>
      </c>
      <c r="R42" s="2" t="inlineStr">
        <is>
          <t>le-moment-opportun.png</t>
        </is>
      </c>
      <c r="S42" s="5" t="inlineStr">
        <is>
          <t>silhouette leaping through a monumental shattering clock face, shards of glass and time exploding outward frozen mid-burst, thin red light bleeding through every crack, darkness beyond, league of legends splash art, highly detailed, dynamic composition, cinematic lighting --no fantasy magic portal, text, watermark</t>
        </is>
      </c>
    </row>
    <row r="43">
      <c r="A43" s="2" t="inlineStr">
        <is>
          <t>K20</t>
        </is>
      </c>
      <c r="B43" s="2" t="inlineStr">
        <is>
          <t>akira-soma</t>
        </is>
      </c>
      <c r="C43" s="3" t="inlineStr">
        <is>
          <t>Forgée</t>
        </is>
      </c>
      <c r="D43" s="7" t="inlineStr">
        <is>
          <t>KAIROS</t>
        </is>
      </c>
      <c r="E43" s="2" t="inlineStr">
        <is>
          <t>Légendaire</t>
        </is>
      </c>
      <c r="F43" s="2" t="inlineStr">
        <is>
          <t>Traveler</t>
        </is>
      </c>
      <c r="G43" s="2" t="n">
        <v>7</v>
      </c>
      <c r="H43" s="2" t="n">
        <v>4</v>
      </c>
      <c r="I43" s="2" t="n">
        <v>6</v>
      </c>
      <c r="J43" s="2" t="inlineStr">
        <is>
          <t>Directeur du DRFT</t>
        </is>
      </c>
      <c r="K43" s="5" t="inlineStr">
        <is>
          <t>À l'arrivée : prenez le contrôle d'un Traveler ennemi non-synchronisé coûtant 3 ou moins.</t>
        </is>
      </c>
      <c r="L43" s="2" t="inlineStr"/>
      <c r="M43" s="5" t="inlineStr"/>
      <c r="N43" s="5" t="inlineStr">
        <is>
          <t>Je vois plus loin. J'ai donc le droit de choisir pour eux.</t>
        </is>
      </c>
      <c r="O43" s="2" t="inlineStr">
        <is>
          <t>Oui</t>
        </is>
      </c>
      <c r="P43" s="2" t="inlineStr">
        <is>
          <t>—</t>
        </is>
      </c>
      <c r="Q43" s="2" t="inlineStr">
        <is>
          <t>vol de masse</t>
        </is>
      </c>
      <c r="R43" s="2" t="inlineStr">
        <is>
          <t>akira-soma.png</t>
        </is>
      </c>
      <c r="S43" s="5" t="inlineStr">
        <is>
          <t>distinguished japanese director descending a grand marble staircase amid an audience of standing shadowed figures applauding, only his warm too-perfect smile fully lit, red seal ring catching the chandelier light, league of legends splash art, highly detailed, cinematic lighting --no fantasy armor, villain sneer, text, watermark</t>
        </is>
      </c>
    </row>
    <row r="44">
      <c r="A44" s="2" t="inlineStr">
        <is>
          <t>K21</t>
        </is>
      </c>
      <c r="B44" s="2" t="inlineStr">
        <is>
          <t>la-comptable</t>
        </is>
      </c>
      <c r="C44" s="6" t="inlineStr">
        <is>
          <t>À générer</t>
        </is>
      </c>
      <c r="D44" s="7" t="inlineStr">
        <is>
          <t>KAIROS</t>
        </is>
      </c>
      <c r="E44" s="2" t="inlineStr">
        <is>
          <t>Légendaire</t>
        </is>
      </c>
      <c r="F44" s="2" t="inlineStr">
        <is>
          <t>Traveler</t>
        </is>
      </c>
      <c r="G44" s="2" t="n">
        <v>6</v>
      </c>
      <c r="H44" s="2" t="inlineStr"/>
      <c r="I44" s="2" t="inlineStr"/>
      <c r="J44" s="2" t="inlineStr"/>
      <c r="K44" s="5" t="inlineStr"/>
      <c r="L44" s="2" t="inlineStr"/>
      <c r="M44" s="5" t="inlineStr"/>
      <c r="N44" s="5" t="inlineStr"/>
      <c r="O44" s="2" t="inlineStr">
        <is>
          <t>Oui</t>
        </is>
      </c>
      <c r="P44" s="2" t="inlineStr">
        <is>
          <t>—</t>
        </is>
      </c>
      <c r="Q44" s="2" t="inlineStr">
        <is>
          <t>build-around sacrifice</t>
        </is>
      </c>
      <c r="R44" s="2" t="inlineStr">
        <is>
          <t>la-comptable.png</t>
        </is>
      </c>
      <c r="S44" s="5" t="inlineStr">
        <is>
          <t>austere woman standing calm at the center of a slow cyclone of ledger pages in a shadowed vault, red-stamped sheets orbiting her, one page pinched precisely between two fingers, a blade of warm light cutting the dust, league of legends splash art, highly detailed, dynamic composition, cinematic lighting --no fantasy magic, text, watermark</t>
        </is>
      </c>
    </row>
    <row r="45">
      <c r="A45" s="2" t="inlineStr">
        <is>
          <t>K22</t>
        </is>
      </c>
      <c r="B45" s="2" t="inlineStr">
        <is>
          <t>renji-kuroda</t>
        </is>
      </c>
      <c r="C45" s="3" t="inlineStr">
        <is>
          <t>Forgée</t>
        </is>
      </c>
      <c r="D45" s="7" t="inlineStr">
        <is>
          <t>KAIROS</t>
        </is>
      </c>
      <c r="E45" s="2" t="inlineStr">
        <is>
          <t>Prismatique</t>
        </is>
      </c>
      <c r="F45" s="2" t="inlineStr">
        <is>
          <t>Traveler</t>
        </is>
      </c>
      <c r="G45" s="2" t="n">
        <v>5</v>
      </c>
      <c r="H45" s="2" t="n">
        <v>4</v>
      </c>
      <c r="I45" s="2" t="n">
        <v>4</v>
      </c>
      <c r="J45" s="2" t="inlineStr">
        <is>
          <t>CELL Kuroda</t>
        </is>
      </c>
      <c r="K45" s="5" t="inlineStr">
        <is>
          <t>Insaisissable tant qu'il n'a pas attaqué.</t>
        </is>
      </c>
      <c r="L45" s="2" t="n">
        <v>2</v>
      </c>
      <c r="M45" s="5" t="inlineStr">
        <is>
          <t>Désactivez un Traveler ennemi synchronisé : il perd son effet embrasé.</t>
        </is>
      </c>
      <c r="N45" s="5" t="inlineStr">
        <is>
          <t>Je suis vide, donc je suis libre.</t>
        </is>
      </c>
      <c r="O45" s="2" t="inlineStr">
        <is>
          <t>Oui</t>
        </is>
      </c>
      <c r="P45" s="2" t="inlineStr">
        <is>
          <t>—</t>
        </is>
      </c>
      <c r="Q45" s="2" t="inlineStr">
        <is>
          <t>signature (désactivation)</t>
        </is>
      </c>
      <c r="R45" s="2" t="inlineStr">
        <is>
          <t>renji-kuroda.png</t>
        </is>
      </c>
      <c r="S45" s="5" t="inlineStr">
        <is>
          <t>gaunt japanese man in a long black coat over a matte black exosuit lunging through a night blizzard, twin adaptive blades extended, red seams blazing through the snow, a dying blue CELL core crushed in his trailing hand, sodium lights haloing the storm, league of legends splash art, highly detailed, dynamic composition, cinematic lighting --no fantasy armor, cape, text, watermark</t>
        </is>
      </c>
    </row>
    <row r="46">
      <c r="A46" s="2" t="inlineStr">
        <is>
          <t>E01</t>
        </is>
      </c>
      <c r="B46" s="2" t="inlineStr">
        <is>
          <t>gamin-des-ruelles</t>
        </is>
      </c>
      <c r="C46" s="6" t="inlineStr">
        <is>
          <t>À générer</t>
        </is>
      </c>
      <c r="D46" s="8" t="inlineStr">
        <is>
          <t>Les Époques</t>
        </is>
      </c>
      <c r="E46" s="2" t="inlineStr">
        <is>
          <t>Standard</t>
        </is>
      </c>
      <c r="F46" s="2" t="inlineStr">
        <is>
          <t>Époque</t>
        </is>
      </c>
      <c r="G46" s="2" t="n">
        <v>1</v>
      </c>
      <c r="H46" s="2" t="inlineStr"/>
      <c r="I46" s="2" t="inlineStr"/>
      <c r="J46" s="2" t="inlineStr"/>
      <c r="K46" s="5" t="inlineStr"/>
      <c r="L46" s="2" t="inlineStr"/>
      <c r="M46" s="5" t="inlineStr"/>
      <c r="N46" s="5" t="inlineStr"/>
      <c r="O46" s="2" t="inlineStr">
        <is>
          <t>Non</t>
        </is>
      </c>
      <c r="P46" s="2" t="inlineStr">
        <is>
          <t>Z-01</t>
        </is>
      </c>
      <c r="Q46" s="2" t="inlineStr">
        <is>
          <t>early universel</t>
        </is>
      </c>
      <c r="R46" s="2" t="inlineStr">
        <is>
          <t>gamin-des-ruelles.png</t>
        </is>
      </c>
      <c r="S46" s="5" t="inlineStr">
        <is>
          <t>street kid in patched wool clothes sprinting across the rooftops of 1888 paris with a stolen loaf, pigeons bursting around him, chimney smoke and morning fog below, warm gaslight amber against cool blue slate roofs, league of legends splash art, highly detailed, dynamic composition, cinematic lighting --no eiffel tower, modern elements, text, watermark</t>
        </is>
      </c>
    </row>
    <row r="47">
      <c r="A47" s="2" t="inlineStr">
        <is>
          <t>E02</t>
        </is>
      </c>
      <c r="B47" s="2" t="inlineStr">
        <is>
          <t>lavandiere-du-fleuve</t>
        </is>
      </c>
      <c r="C47" s="6" t="inlineStr">
        <is>
          <t>À générer</t>
        </is>
      </c>
      <c r="D47" s="8" t="inlineStr">
        <is>
          <t>Les Époques</t>
        </is>
      </c>
      <c r="E47" s="2" t="inlineStr">
        <is>
          <t>Standard</t>
        </is>
      </c>
      <c r="F47" s="2" t="inlineStr">
        <is>
          <t>Époque</t>
        </is>
      </c>
      <c r="G47" s="2" t="n">
        <v>2</v>
      </c>
      <c r="H47" s="2" t="inlineStr"/>
      <c r="I47" s="2" t="inlineStr"/>
      <c r="J47" s="2" t="inlineStr"/>
      <c r="K47" s="5" t="inlineStr"/>
      <c r="L47" s="2" t="inlineStr"/>
      <c r="M47" s="5" t="inlineStr"/>
      <c r="N47" s="5" t="inlineStr"/>
      <c r="O47" s="2" t="inlineStr">
        <is>
          <t>Non</t>
        </is>
      </c>
      <c r="P47" s="2" t="inlineStr">
        <is>
          <t>Z-01</t>
        </is>
      </c>
      <c r="Q47" s="2" t="inlineStr">
        <is>
          <t>vanilla+</t>
        </is>
      </c>
      <c r="R47" s="2" t="inlineStr">
        <is>
          <t>lavandiere-du-fleuve.png</t>
        </is>
      </c>
      <c r="S47" s="5" t="inlineStr">
        <is>
          <t>laundress in rough 19th century workclothes wading thigh-deep in a river at sunrise, hauling heavy linen against the current, spray catching the gold light, fog erasing the far shore, league of legends splash art, highly detailed, dynamic composition, cinematic lighting --no recognizable landmarks, modern elements, text, watermark</t>
        </is>
      </c>
    </row>
    <row r="48">
      <c r="A48" s="2" t="inlineStr">
        <is>
          <t>E03</t>
        </is>
      </c>
      <c r="B48" s="2" t="inlineStr">
        <is>
          <t>ronin-zone-aveugle</t>
        </is>
      </c>
      <c r="C48" s="3" t="inlineStr">
        <is>
          <t>Forgée</t>
        </is>
      </c>
      <c r="D48" s="8" t="inlineStr">
        <is>
          <t>Les Époques</t>
        </is>
      </c>
      <c r="E48" s="2" t="inlineStr">
        <is>
          <t>Standard</t>
        </is>
      </c>
      <c r="F48" s="2" t="inlineStr">
        <is>
          <t>Époque</t>
        </is>
      </c>
      <c r="G48" s="2" t="n">
        <v>3</v>
      </c>
      <c r="H48" s="2" t="n">
        <v>4</v>
      </c>
      <c r="I48" s="2" t="n">
        <v>3</v>
      </c>
      <c r="J48" s="2" t="inlineStr"/>
      <c r="K48" s="5" t="inlineStr"/>
      <c r="L48" s="2" t="inlineStr"/>
      <c r="M48" s="5" t="inlineStr"/>
      <c r="N48" s="5" t="inlineStr">
        <is>
          <t>Aucune chronique ne porte son nom. C'est pour ça qu'il peut encore se battre.</t>
        </is>
      </c>
      <c r="O48" s="2" t="inlineStr">
        <is>
          <t>Non</t>
        </is>
      </c>
      <c r="P48" s="2" t="inlineStr">
        <is>
          <t>Z-02</t>
        </is>
      </c>
      <c r="Q48" s="2" t="inlineStr">
        <is>
          <t>beater</t>
        </is>
      </c>
      <c r="R48" s="2" t="inlineStr">
        <is>
          <t>ronin-zone-aveugle.png</t>
        </is>
      </c>
      <c r="S48" s="5" t="inlineStr">
        <is>
          <t>masterless samurai mid-draw on a mist-drowned wooden bridge, blade a silver arc, river spray and maple leaves swirling, warm lantern light against the cold teal fog, league of legends splash art, highly detailed, dynamic composition, cinematic lighting --no famous castle, modern elements, text, watermark</t>
        </is>
      </c>
    </row>
    <row r="49">
      <c r="A49" s="2" t="inlineStr">
        <is>
          <t>E04</t>
        </is>
      </c>
      <c r="B49" s="2" t="inlineStr">
        <is>
          <t>macon-du-col</t>
        </is>
      </c>
      <c r="C49" s="6" t="inlineStr">
        <is>
          <t>À générer</t>
        </is>
      </c>
      <c r="D49" s="8" t="inlineStr">
        <is>
          <t>Les Époques</t>
        </is>
      </c>
      <c r="E49" s="2" t="inlineStr">
        <is>
          <t>Standard</t>
        </is>
      </c>
      <c r="F49" s="2" t="inlineStr">
        <is>
          <t>Époque</t>
        </is>
      </c>
      <c r="G49" s="2" t="n">
        <v>3</v>
      </c>
      <c r="H49" s="2" t="inlineStr"/>
      <c r="I49" s="2" t="inlineStr"/>
      <c r="J49" s="2" t="inlineStr"/>
      <c r="K49" s="5" t="inlineStr"/>
      <c r="L49" s="2" t="inlineStr"/>
      <c r="M49" s="5" t="inlineStr"/>
      <c r="N49" s="5" t="inlineStr"/>
      <c r="O49" s="2" t="inlineStr">
        <is>
          <t>Non</t>
        </is>
      </c>
      <c r="P49" s="2" t="inlineStr">
        <is>
          <t>Z-04</t>
        </is>
      </c>
      <c r="Q49" s="2" t="inlineStr">
        <is>
          <t>mur (Garde)</t>
        </is>
      </c>
      <c r="R49" s="2" t="inlineStr">
        <is>
          <t>macon-du-col.png</t>
        </is>
      </c>
      <c r="S49" s="5" t="inlineStr">
        <is>
          <t>weathered stonemason hauling a stone block up a creaking rope pulley in driving snow, scaffold swaying against the unfinished mountain chapel, his brazier sparking orange in the blue whiteout, league of legends splash art, highly detailed, dynamic composition, cinematic lighting --no modern elements, text, watermark</t>
        </is>
      </c>
    </row>
    <row r="50">
      <c r="A50" s="2" t="inlineStr">
        <is>
          <t>E05</t>
        </is>
      </c>
      <c r="B50" s="2" t="inlineStr">
        <is>
          <t>legionnaire-sans-stele</t>
        </is>
      </c>
      <c r="C50" s="6" t="inlineStr">
        <is>
          <t>À générer</t>
        </is>
      </c>
      <c r="D50" s="8" t="inlineStr">
        <is>
          <t>Les Époques</t>
        </is>
      </c>
      <c r="E50" s="2" t="inlineStr">
        <is>
          <t>Standard</t>
        </is>
      </c>
      <c r="F50" s="2" t="inlineStr">
        <is>
          <t>Époque</t>
        </is>
      </c>
      <c r="G50" s="2" t="n">
        <v>4</v>
      </c>
      <c r="H50" s="2" t="inlineStr"/>
      <c r="I50" s="2" t="inlineStr"/>
      <c r="J50" s="2" t="inlineStr"/>
      <c r="K50" s="5" t="inlineStr"/>
      <c r="L50" s="2" t="inlineStr"/>
      <c r="M50" s="5" t="inlineStr"/>
      <c r="N50" s="5" t="inlineStr"/>
      <c r="O50" s="2" t="inlineStr">
        <is>
          <t>Non</t>
        </is>
      </c>
      <c r="P50" s="2" t="inlineStr">
        <is>
          <t>Z-03</t>
        </is>
      </c>
      <c r="Q50" s="2" t="inlineStr">
        <is>
          <t>beater</t>
        </is>
      </c>
      <c r="R50" s="2" t="inlineStr">
        <is>
          <t>legionnaire-sans-stele.png</t>
        </is>
      </c>
      <c r="S50" s="5" t="inlineStr">
        <is>
          <t>lone roman legionary charging through giant ferns in a dark primeval forest, split shield raised, mud flying from his boots, pale bronze light breaking through the canopy onto his roaring face, fog swallowing everything behind, league of legends splash art, highly detailed, dynamic composition, cinematic lighting --no roman monument, modern elements, text, watermark</t>
        </is>
      </c>
    </row>
    <row r="51">
      <c r="A51" s="2" t="inlineStr">
        <is>
          <t>E06</t>
        </is>
      </c>
      <c r="B51" s="2" t="inlineStr">
        <is>
          <t>baleinier-du-pack</t>
        </is>
      </c>
      <c r="C51" s="6" t="inlineStr">
        <is>
          <t>À générer</t>
        </is>
      </c>
      <c r="D51" s="8" t="inlineStr">
        <is>
          <t>Les Époques</t>
        </is>
      </c>
      <c r="E51" s="2" t="inlineStr">
        <is>
          <t>Standard</t>
        </is>
      </c>
      <c r="F51" s="2" t="inlineStr">
        <is>
          <t>Époque</t>
        </is>
      </c>
      <c r="G51" s="2" t="n">
        <v>5</v>
      </c>
      <c r="H51" s="2" t="inlineStr"/>
      <c r="I51" s="2" t="inlineStr"/>
      <c r="J51" s="2" t="inlineStr"/>
      <c r="K51" s="5" t="inlineStr"/>
      <c r="L51" s="2" t="inlineStr"/>
      <c r="M51" s="5" t="inlineStr"/>
      <c r="N51" s="5" t="inlineStr"/>
      <c r="O51" s="2" t="inlineStr">
        <is>
          <t>Non</t>
        </is>
      </c>
      <c r="P51" s="2" t="inlineStr">
        <is>
          <t>Z-05</t>
        </is>
      </c>
      <c r="Q51" s="2" t="inlineStr">
        <is>
          <t>gros vanilla</t>
        </is>
      </c>
      <c r="R51" s="2" t="inlineStr">
        <is>
          <t>baleinier-du-pack.png</t>
        </is>
      </c>
      <c r="S51" s="5" t="inlineStr">
        <is>
          <t>harpooner in heavy oilskins hurling his harpoon from the icy bow as a wave bursts against the hull, spray freezing mid-air, teal icebergs and grey fog wall behind, his oil lantern swinging gold, league of legends splash art, highly detailed, dynamic composition, cinematic lighting --no modern ships, text, watermark</t>
        </is>
      </c>
    </row>
    <row r="52">
      <c r="A52" s="2" t="inlineStr">
        <is>
          <t>E07</t>
        </is>
      </c>
      <c r="B52" s="2" t="inlineStr">
        <is>
          <t>ours-des-steppes</t>
        </is>
      </c>
      <c r="C52" s="6" t="inlineStr">
        <is>
          <t>À générer</t>
        </is>
      </c>
      <c r="D52" s="8" t="inlineStr">
        <is>
          <t>Les Époques</t>
        </is>
      </c>
      <c r="E52" s="2" t="inlineStr">
        <is>
          <t>Standard</t>
        </is>
      </c>
      <c r="F52" s="2" t="inlineStr">
        <is>
          <t>Époque</t>
        </is>
      </c>
      <c r="G52" s="2" t="n">
        <v>6</v>
      </c>
      <c r="H52" s="2" t="inlineStr"/>
      <c r="I52" s="2" t="inlineStr"/>
      <c r="J52" s="2" t="inlineStr"/>
      <c r="K52" s="5" t="inlineStr"/>
      <c r="L52" s="2" t="inlineStr"/>
      <c r="M52" s="5" t="inlineStr"/>
      <c r="N52" s="5" t="inlineStr"/>
      <c r="O52" s="2" t="inlineStr">
        <is>
          <t>Non</t>
        </is>
      </c>
      <c r="P52" s="2" t="inlineStr">
        <is>
          <t>Z-06</t>
        </is>
      </c>
      <c r="Q52" s="2" t="inlineStr">
        <is>
          <t>très gros</t>
        </is>
      </c>
      <c r="R52" s="2" t="inlineStr">
        <is>
          <t>ours-des-steppes.png</t>
        </is>
      </c>
      <c r="S52" s="5" t="inlineStr">
        <is>
          <t>colossal prehistoric steppe bear charging toward the viewer through a blizzard, snow exploding from each stride, ice-crusted fur, pale gold dawn cutting through the blue storm, league of legends splash art, highly detailed, dynamic composition, cinematic lighting --no modern elements, text, watermark</t>
        </is>
      </c>
    </row>
    <row r="53">
      <c r="A53" s="2" t="inlineStr">
        <is>
          <t>E08</t>
        </is>
      </c>
      <c r="B53" s="2" t="inlineStr">
        <is>
          <t>poussiere-des-siecles</t>
        </is>
      </c>
      <c r="C53" s="6" t="inlineStr">
        <is>
          <t>À générer</t>
        </is>
      </c>
      <c r="D53" s="8" t="inlineStr">
        <is>
          <t>Les Époques</t>
        </is>
      </c>
      <c r="E53" s="2" t="inlineStr">
        <is>
          <t>Standard</t>
        </is>
      </c>
      <c r="F53" s="2" t="inlineStr">
        <is>
          <t>Protocole</t>
        </is>
      </c>
      <c r="G53" s="2" t="n">
        <v>2</v>
      </c>
      <c r="H53" s="2" t="inlineStr"/>
      <c r="I53" s="2" t="inlineStr"/>
      <c r="J53" s="2" t="inlineStr"/>
      <c r="K53" s="5" t="inlineStr"/>
      <c r="L53" s="2" t="inlineStr"/>
      <c r="M53" s="5" t="inlineStr"/>
      <c r="N53" s="5" t="inlineStr"/>
      <c r="O53" s="2" t="inlineStr">
        <is>
          <t>Non</t>
        </is>
      </c>
      <c r="P53" s="2" t="inlineStr">
        <is>
          <t>—</t>
        </is>
      </c>
      <c r="Q53" s="2" t="inlineStr">
        <is>
          <t>trick</t>
        </is>
      </c>
      <c r="R53" s="2" t="inlineStr">
        <is>
          <t>poussiere-des-siecles.png</t>
        </is>
      </c>
      <c r="S53" s="5" t="inlineStr">
        <is>
          <t>a bare hand dissolving into golden dust motes inside one blade of afternoon light, dark barn interior, the dust drifting upward like memory, league of legends splash art, highly detailed, cinematic lighting --no skeleton, gore, text, watermark</t>
        </is>
      </c>
    </row>
    <row r="54">
      <c r="A54" s="2" t="inlineStr">
        <is>
          <t>E09</t>
        </is>
      </c>
      <c r="B54" s="2" t="inlineStr">
        <is>
          <t>temoin-manquant</t>
        </is>
      </c>
      <c r="C54" s="6" t="inlineStr">
        <is>
          <t>À générer</t>
        </is>
      </c>
      <c r="D54" s="8" t="inlineStr">
        <is>
          <t>Les Époques</t>
        </is>
      </c>
      <c r="E54" s="2" t="inlineStr">
        <is>
          <t>Standard</t>
        </is>
      </c>
      <c r="F54" s="2" t="inlineStr">
        <is>
          <t>Protocole</t>
        </is>
      </c>
      <c r="G54" s="2" t="n">
        <v>3</v>
      </c>
      <c r="H54" s="2" t="inlineStr"/>
      <c r="I54" s="2" t="inlineStr"/>
      <c r="J54" s="2" t="inlineStr"/>
      <c r="K54" s="5" t="inlineStr"/>
      <c r="L54" s="2" t="inlineStr"/>
      <c r="M54" s="5" t="inlineStr"/>
      <c r="N54" s="5" t="inlineStr"/>
      <c r="O54" s="2" t="inlineStr">
        <is>
          <t>Non</t>
        </is>
      </c>
      <c r="P54" s="2" t="inlineStr">
        <is>
          <t>—</t>
        </is>
      </c>
      <c r="Q54" s="2" t="inlineStr">
        <is>
          <t>protection</t>
        </is>
      </c>
      <c r="R54" s="2" t="inlineStr">
        <is>
          <t>temoin-manquant.png</t>
        </is>
      </c>
      <c r="S54" s="5" t="inlineStr">
        <is>
          <t>crowded historical tavern in warm hearth light, every figure softly blurred in motion except one perfectly sharp empty chair, a still-steaming cup before it, league of legends splash art, highly detailed, cinematic lighting --no modern elements, text, watermark</t>
        </is>
      </c>
    </row>
    <row r="55">
      <c r="A55" s="2" t="inlineStr">
        <is>
          <t>E10</t>
        </is>
      </c>
      <c r="B55" s="2" t="inlineStr">
        <is>
          <t>messagere-aux-pieds-nus</t>
        </is>
      </c>
      <c r="C55" s="6" t="inlineStr">
        <is>
          <t>À générer</t>
        </is>
      </c>
      <c r="D55" s="8" t="inlineStr">
        <is>
          <t>Les Époques</t>
        </is>
      </c>
      <c r="E55" s="2" t="inlineStr">
        <is>
          <t>Rare</t>
        </is>
      </c>
      <c r="F55" s="2" t="inlineStr">
        <is>
          <t>Époque</t>
        </is>
      </c>
      <c r="G55" s="2" t="n">
        <v>2</v>
      </c>
      <c r="H55" s="2" t="inlineStr"/>
      <c r="I55" s="2" t="inlineStr"/>
      <c r="J55" s="2" t="inlineStr"/>
      <c r="K55" s="5" t="inlineStr"/>
      <c r="L55" s="2" t="inlineStr"/>
      <c r="M55" s="5" t="inlineStr"/>
      <c r="N55" s="5" t="inlineStr"/>
      <c r="O55" s="2" t="inlineStr">
        <is>
          <t>Non</t>
        </is>
      </c>
      <c r="P55" s="2" t="inlineStr">
        <is>
          <t>—</t>
        </is>
      </c>
      <c r="Q55" s="2" t="inlineStr">
        <is>
          <t>early premium (Célérité)</t>
        </is>
      </c>
      <c r="R55" s="2" t="inlineStr">
        <is>
          <t>messagere-aux-pieds-nus.png</t>
        </is>
      </c>
      <c r="S55" s="5" t="inlineStr">
        <is>
          <t>barefoot messenger girl sprinting low through a narrow ancient market street before dawn, sealed letter clutched to her chest, dust and startled doves in her wake, violet sky over warm lantern awnings, league of legends splash art, highly detailed, dynamic composition, cinematic lighting --no modern elements, text, watermark</t>
        </is>
      </c>
    </row>
    <row r="56">
      <c r="A56" s="2" t="inlineStr">
        <is>
          <t>E11</t>
        </is>
      </c>
      <c r="B56" s="2" t="inlineStr">
        <is>
          <t>griot-sans-archive</t>
        </is>
      </c>
      <c r="C56" s="6" t="inlineStr">
        <is>
          <t>À générer</t>
        </is>
      </c>
      <c r="D56" s="8" t="inlineStr">
        <is>
          <t>Les Époques</t>
        </is>
      </c>
      <c r="E56" s="2" t="inlineStr">
        <is>
          <t>Rare</t>
        </is>
      </c>
      <c r="F56" s="2" t="inlineStr">
        <is>
          <t>Époque</t>
        </is>
      </c>
      <c r="G56" s="2" t="n">
        <v>4</v>
      </c>
      <c r="H56" s="2" t="inlineStr"/>
      <c r="I56" s="2" t="inlineStr"/>
      <c r="J56" s="2" t="inlineStr"/>
      <c r="K56" s="5" t="inlineStr"/>
      <c r="L56" s="2" t="inlineStr"/>
      <c r="M56" s="5" t="inlineStr"/>
      <c r="N56" s="5" t="inlineStr"/>
      <c r="O56" s="2" t="inlineStr">
        <is>
          <t>Non</t>
        </is>
      </c>
      <c r="P56" s="2" t="inlineStr">
        <is>
          <t>—</t>
        </is>
      </c>
      <c r="Q56" s="2" t="inlineStr">
        <is>
          <t>valeur (Dernier souffle)</t>
        </is>
      </c>
      <c r="R56" s="2" t="inlineStr">
        <is>
          <t>griot-sans-archive.png</t>
        </is>
      </c>
      <c r="S56" s="5" t="inlineStr">
        <is>
          <t>old griot mid-tale at a night fire, arms sweeping wide as the rising sparks swirl into fleeting shapes of warriors and rivers above the flames, entranced listeners leaning in from the deep blue dark, league of legends splash art, highly detailed, dynamic composition, cinematic lighting --no modern elements, text, watermark</t>
        </is>
      </c>
    </row>
    <row r="57">
      <c r="A57" s="2" t="inlineStr">
        <is>
          <t>E12</t>
        </is>
      </c>
      <c r="B57" s="2" t="inlineStr">
        <is>
          <t>gardienne-du-col</t>
        </is>
      </c>
      <c r="C57" s="6" t="inlineStr">
        <is>
          <t>À générer</t>
        </is>
      </c>
      <c r="D57" s="8" t="inlineStr">
        <is>
          <t>Les Époques</t>
        </is>
      </c>
      <c r="E57" s="2" t="inlineStr">
        <is>
          <t>Rare</t>
        </is>
      </c>
      <c r="F57" s="2" t="inlineStr">
        <is>
          <t>Époque</t>
        </is>
      </c>
      <c r="G57" s="2" t="n">
        <v>6</v>
      </c>
      <c r="H57" s="2" t="inlineStr"/>
      <c r="I57" s="2" t="inlineStr"/>
      <c r="J57" s="2" t="inlineStr"/>
      <c r="K57" s="5" t="inlineStr"/>
      <c r="L57" s="2" t="inlineStr"/>
      <c r="M57" s="5" t="inlineStr"/>
      <c r="N57" s="5" t="inlineStr"/>
      <c r="O57" s="2" t="inlineStr">
        <is>
          <t>Non</t>
        </is>
      </c>
      <c r="P57" s="2" t="inlineStr">
        <is>
          <t>Z-04</t>
        </is>
      </c>
      <c r="Q57" s="2" t="inlineStr">
        <is>
          <t>mur lourd (Garde)</t>
        </is>
      </c>
      <c r="R57" s="2" t="inlineStr">
        <is>
          <t>gardienne-du-col.png</t>
        </is>
      </c>
      <c r="S57" s="5" t="inlineStr">
        <is>
          <t>mountain woman warrior sweeping her long spear in a wide arc through the snowstorm at a narrow alpine pass, snow carving off the blade's path, furs whipping, warm watch-fire light against the blue whiteout, league of legends splash art, highly detailed, dynamic composition, cinematic lighting --no fantasy armor, modern elements, text, watermark</t>
        </is>
      </c>
    </row>
    <row r="58">
      <c r="A58" s="2" t="inlineStr">
        <is>
          <t>E13</t>
        </is>
      </c>
      <c r="B58" s="2" t="inlineStr">
        <is>
          <t>zone-aveugle</t>
        </is>
      </c>
      <c r="C58" s="6" t="inlineStr">
        <is>
          <t>À générer</t>
        </is>
      </c>
      <c r="D58" s="8" t="inlineStr">
        <is>
          <t>Les Époques</t>
        </is>
      </c>
      <c r="E58" s="2" t="inlineStr">
        <is>
          <t>Rare</t>
        </is>
      </c>
      <c r="F58" s="2" t="inlineStr">
        <is>
          <t>Protocole</t>
        </is>
      </c>
      <c r="G58" s="2" t="n">
        <v>3</v>
      </c>
      <c r="H58" s="2" t="inlineStr"/>
      <c r="I58" s="2" t="inlineStr"/>
      <c r="J58" s="2" t="inlineStr"/>
      <c r="K58" s="5" t="inlineStr"/>
      <c r="L58" s="2" t="inlineStr"/>
      <c r="M58" s="5" t="inlineStr"/>
      <c r="N58" s="5" t="inlineStr"/>
      <c r="O58" s="2" t="inlineStr">
        <is>
          <t>Non</t>
        </is>
      </c>
      <c r="P58" s="2" t="inlineStr">
        <is>
          <t>—</t>
        </is>
      </c>
      <c r="Q58" s="2" t="inlineStr">
        <is>
          <t>trick signature</t>
        </is>
      </c>
      <c r="R58" s="2" t="inlineStr">
        <is>
          <t>zone-aveugle.png</t>
        </is>
      </c>
      <c r="S58" s="5" t="inlineStr">
        <is>
          <t>wide historical landscape whose center is simply unwritten, a soft pale void swallowing the middle of the scene, birds wheeling around the absence, warm bronze countryside fraying into blank nothing, league of legends splash art, highly detailed, cinematic lighting --no fantasy magic portal, modern elements, text, watermark</t>
        </is>
      </c>
    </row>
    <row r="59">
      <c r="A59" s="2" t="inlineStr">
        <is>
          <t>E14</t>
        </is>
      </c>
      <c r="B59" s="2" t="inlineStr">
        <is>
          <t>duelliste-du-pont</t>
        </is>
      </c>
      <c r="C59" s="6" t="inlineStr">
        <is>
          <t>À générer</t>
        </is>
      </c>
      <c r="D59" s="8" t="inlineStr">
        <is>
          <t>Les Époques</t>
        </is>
      </c>
      <c r="E59" s="2" t="inlineStr">
        <is>
          <t>Épique</t>
        </is>
      </c>
      <c r="F59" s="2" t="inlineStr">
        <is>
          <t>Époque</t>
        </is>
      </c>
      <c r="G59" s="2" t="n">
        <v>5</v>
      </c>
      <c r="H59" s="2" t="inlineStr"/>
      <c r="I59" s="2" t="inlineStr"/>
      <c r="J59" s="2" t="inlineStr"/>
      <c r="K59" s="5" t="inlineStr"/>
      <c r="L59" s="2" t="inlineStr"/>
      <c r="M59" s="5" t="inlineStr"/>
      <c r="N59" s="5" t="inlineStr"/>
      <c r="O59" s="2" t="inlineStr">
        <is>
          <t>Non</t>
        </is>
      </c>
      <c r="P59" s="2" t="inlineStr">
        <is>
          <t>Z-02</t>
        </is>
      </c>
      <c r="Q59" s="2" t="inlineStr">
        <is>
          <t>menace</t>
        </is>
      </c>
      <c r="R59" s="2" t="inlineStr">
        <is>
          <t>duelliste-du-pont.png</t>
        </is>
      </c>
      <c r="S59" s="5" t="inlineStr">
        <is>
          <t>lean swordsman sprinting across the planks of a mist-drowned bridge toward the viewer, scabbard flung aside spinning mid-air, blade low and trailing, cold steel mist parting around him, one warm lantern flare, league of legends splash art, highly detailed, dynamic composition, cinematic lighting --no famous landmark, modern elements, text, watermark</t>
        </is>
      </c>
    </row>
    <row r="60">
      <c r="A60" s="2" t="inlineStr">
        <is>
          <t>E15</t>
        </is>
      </c>
      <c r="B60" s="2" t="inlineStr">
        <is>
          <t>cuirasse-du-detroit</t>
        </is>
      </c>
      <c r="C60" s="6" t="inlineStr">
        <is>
          <t>À générer</t>
        </is>
      </c>
      <c r="D60" s="8" t="inlineStr">
        <is>
          <t>Les Époques</t>
        </is>
      </c>
      <c r="E60" s="2" t="inlineStr">
        <is>
          <t>Épique</t>
        </is>
      </c>
      <c r="F60" s="2" t="inlineStr">
        <is>
          <t>Époque</t>
        </is>
      </c>
      <c r="G60" s="2" t="n">
        <v>7</v>
      </c>
      <c r="H60" s="2" t="inlineStr"/>
      <c r="I60" s="2" t="inlineStr"/>
      <c r="J60" s="2" t="inlineStr"/>
      <c r="K60" s="5" t="inlineStr"/>
      <c r="L60" s="2" t="inlineStr"/>
      <c r="M60" s="5" t="inlineStr"/>
      <c r="N60" s="5" t="inlineStr"/>
      <c r="O60" s="2" t="inlineStr">
        <is>
          <t>Non</t>
        </is>
      </c>
      <c r="P60" s="2" t="inlineStr">
        <is>
          <t>Z-05</t>
        </is>
      </c>
      <c r="Q60" s="2" t="inlineStr">
        <is>
          <t>finisher neutre</t>
        </is>
      </c>
      <c r="R60" s="2" t="inlineStr">
        <is>
          <t>cuirasse-du-detroit.png</t>
        </is>
      </c>
      <c r="S60" s="5" t="inlineStr">
        <is>
          <t>early 1900s battleship bursting its rusted prow through a wall of sea fog toward the viewer, bow wave exploding, no flag, the fog visibly unwriting its stern into nothing, cold teal sea and warm rust, league of legends splash art, highly detailed, dynamic composition, cinematic lighting --no modern warships, text, watermark</t>
        </is>
      </c>
    </row>
    <row r="61">
      <c r="A61" s="2" t="inlineStr">
        <is>
          <t>E16</t>
        </is>
      </c>
      <c r="B61" s="2" t="inlineStr">
        <is>
          <t>larchiviste-oublie</t>
        </is>
      </c>
      <c r="C61" s="6" t="inlineStr">
        <is>
          <t>À générer</t>
        </is>
      </c>
      <c r="D61" s="8" t="inlineStr">
        <is>
          <t>Les Époques</t>
        </is>
      </c>
      <c r="E61" s="2" t="inlineStr">
        <is>
          <t>Légendaire</t>
        </is>
      </c>
      <c r="F61" s="2" t="inlineStr">
        <is>
          <t>Époque</t>
        </is>
      </c>
      <c r="G61" s="2" t="n">
        <v>8</v>
      </c>
      <c r="H61" s="2" t="inlineStr"/>
      <c r="I61" s="2" t="inlineStr"/>
      <c r="J61" s="2" t="inlineStr"/>
      <c r="K61" s="5" t="inlineStr"/>
      <c r="L61" s="2" t="inlineStr"/>
      <c r="M61" s="5" t="inlineStr"/>
      <c r="N61" s="5" t="inlineStr"/>
      <c r="O61" s="2" t="inlineStr">
        <is>
          <t>Oui</t>
        </is>
      </c>
      <c r="P61" s="2" t="inlineStr">
        <is>
          <t>Z-07</t>
        </is>
      </c>
      <c r="Q61" s="2" t="inlineStr">
        <is>
          <t>colosse ultime</t>
        </is>
      </c>
      <c r="R61" s="2" t="inlineStr">
        <is>
          <t>larchiviste-oublie.png</t>
        </is>
      </c>
      <c r="S61" s="5" t="inlineStr">
        <is>
          <t>ageless hooded figure looking up from an open blank book as thousands of books spiral upward around him into a vortex of golden dust and violet fog, impossible curved shelves dissolving into the sky, league of legends splash art, highly detailed, dynamic composition, cinematic lighting --no wizard fantasy, glowing runes, modern elements, text, watermark</t>
        </is>
      </c>
    </row>
  </sheetData>
  <autoFilter ref="A1:S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8" customWidth="1" min="1" max="1"/>
    <col width="12" customWidth="1" min="2" max="2"/>
    <col width="12" customWidth="1" min="3" max="3"/>
    <col width="12" customWidth="1" min="4" max="4"/>
    <col width="12" customWidth="1" min="5" max="5"/>
    <col width="12" customWidth="1" min="6" max="6"/>
    <col width="12" customWidth="1" min="7" max="7"/>
  </cols>
  <sheetData>
    <row r="1">
      <c r="A1" s="9" t="inlineStr">
        <is>
          <t>SET 01 — ZONES AVEUGLES · synthèse de production</t>
        </is>
      </c>
    </row>
    <row r="3">
      <c r="A3" s="10" t="inlineStr">
        <is>
          <t>Cartes forgées</t>
        </is>
      </c>
      <c r="B3" s="11">
        <f>COUNTIF('SET 01'!C2:C61,"Forgée")</f>
        <v/>
      </c>
    </row>
    <row r="4">
      <c r="A4" s="10" t="inlineStr">
        <is>
          <t>À générer</t>
        </is>
      </c>
      <c r="B4" s="11">
        <f>COUNTIF('SET 01'!C2:C61,"À générer")</f>
        <v/>
      </c>
    </row>
    <row r="5">
      <c r="A5" s="10" t="inlineStr">
        <is>
          <t>Progression</t>
        </is>
      </c>
      <c r="B5" s="12">
        <f>B3/60</f>
        <v/>
      </c>
    </row>
    <row r="7">
      <c r="A7" t="inlineStr">
        <is>
          <t>Faction \ Rareté</t>
        </is>
      </c>
      <c r="B7" s="11" t="inlineStr">
        <is>
          <t>Standard</t>
        </is>
      </c>
      <c r="C7" s="11" t="inlineStr">
        <is>
          <t>Rare</t>
        </is>
      </c>
      <c r="D7" s="11" t="inlineStr">
        <is>
          <t>Épique</t>
        </is>
      </c>
      <c r="E7" s="11" t="inlineStr">
        <is>
          <t>Légendaire</t>
        </is>
      </c>
      <c r="F7" s="11" t="inlineStr">
        <is>
          <t>Prismatique</t>
        </is>
      </c>
      <c r="G7" s="11" t="inlineStr">
        <is>
          <t>Total</t>
        </is>
      </c>
    </row>
    <row r="8">
      <c r="A8" s="11" t="inlineStr">
        <is>
          <t>RIKKEN</t>
        </is>
      </c>
      <c r="B8">
        <f>COUNTIFS('SET 01'!D2:D61,"RIKKEN",'SET 01'!E2:E61,"Standard")</f>
        <v/>
      </c>
      <c r="C8">
        <f>COUNTIFS('SET 01'!D2:D61,"RIKKEN",'SET 01'!E2:E61,"Rare")</f>
        <v/>
      </c>
      <c r="D8">
        <f>COUNTIFS('SET 01'!D2:D61,"RIKKEN",'SET 01'!E2:E61,"Épique")</f>
        <v/>
      </c>
      <c r="E8">
        <f>COUNTIFS('SET 01'!D2:D61,"RIKKEN",'SET 01'!E2:E61,"Légendaire")</f>
        <v/>
      </c>
      <c r="F8">
        <f>COUNTIFS('SET 01'!D2:D61,"RIKKEN",'SET 01'!E2:E61,"Prismatique")</f>
        <v/>
      </c>
      <c r="G8" s="11">
        <f>SUM(B8:F8)</f>
        <v/>
      </c>
    </row>
    <row r="9">
      <c r="A9" s="11" t="inlineStr">
        <is>
          <t>KAIROS</t>
        </is>
      </c>
      <c r="B9">
        <f>COUNTIFS('SET 01'!D2:D61,"KAIROS",'SET 01'!E2:E61,"Standard")</f>
        <v/>
      </c>
      <c r="C9">
        <f>COUNTIFS('SET 01'!D2:D61,"KAIROS",'SET 01'!E2:E61,"Rare")</f>
        <v/>
      </c>
      <c r="D9">
        <f>COUNTIFS('SET 01'!D2:D61,"KAIROS",'SET 01'!E2:E61,"Épique")</f>
        <v/>
      </c>
      <c r="E9">
        <f>COUNTIFS('SET 01'!D2:D61,"KAIROS",'SET 01'!E2:E61,"Légendaire")</f>
        <v/>
      </c>
      <c r="F9">
        <f>COUNTIFS('SET 01'!D2:D61,"KAIROS",'SET 01'!E2:E61,"Prismatique")</f>
        <v/>
      </c>
      <c r="G9" s="11">
        <f>SUM(B9:F9)</f>
        <v/>
      </c>
    </row>
    <row r="10">
      <c r="A10" s="11" t="inlineStr">
        <is>
          <t>Les Époques</t>
        </is>
      </c>
      <c r="B10">
        <f>COUNTIFS('SET 01'!D2:D61,"Les Époques",'SET 01'!E2:E61,"Standard")</f>
        <v/>
      </c>
      <c r="C10">
        <f>COUNTIFS('SET 01'!D2:D61,"Les Époques",'SET 01'!E2:E61,"Rare")</f>
        <v/>
      </c>
      <c r="D10">
        <f>COUNTIFS('SET 01'!D2:D61,"Les Époques",'SET 01'!E2:E61,"Épique")</f>
        <v/>
      </c>
      <c r="E10">
        <f>COUNTIFS('SET 01'!D2:D61,"Les Époques",'SET 01'!E2:E61,"Légendaire")</f>
        <v/>
      </c>
      <c r="F10">
        <f>COUNTIFS('SET 01'!D2:D61,"Les Époques",'SET 01'!E2:E61,"Prismatique")</f>
        <v/>
      </c>
      <c r="G10" s="11">
        <f>SUM(B10:F10)</f>
        <v/>
      </c>
    </row>
    <row r="11">
      <c r="A11" s="11" t="inlineStr">
        <is>
          <t>Total</t>
        </is>
      </c>
      <c r="B11" s="11">
        <f>SUM(B8:B10)</f>
        <v/>
      </c>
      <c r="C11" s="11">
        <f>SUM(C8:C10)</f>
        <v/>
      </c>
      <c r="D11" s="11">
        <f>SUM(D8:D10)</f>
        <v/>
      </c>
      <c r="E11" s="11">
        <f>SUM(E8:E10)</f>
        <v/>
      </c>
      <c r="F11" s="11">
        <f>SUM(F8:F10)</f>
        <v/>
      </c>
      <c r="G11" s="11">
        <f>SUM(G8:G10)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2026-07-05T18:01:48Z</dcterms:created>
  <dcterms:modified xmlns:dcterms="http://purl.org/dc/terms/" xmlns:xsi="http://www.w3.org/2001/XMLSchema-instance" xsi:type="dcterms:W3CDTF">2026-07-05T18:01:48Z</dcterms:modified>
</cp:coreProperties>
</file>