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1b0b105cd94b15" /></Relationships>
</file>

<file path=xl/workbook.xml><?xml version="1.0" encoding="utf-8"?>
<x:workbook xmlns:x="http://schemas.openxmlformats.org/spreadsheetml/2006/main">
  <x:sheets>
    <x:sheet xmlns:r="http://schemas.openxmlformats.org/officeDocument/2006/relationships" name="Dashboard" sheetId="1" r:id="R30ada0d875304c34"/>
    <x:sheet xmlns:r="http://schemas.openxmlformats.org/officeDocument/2006/relationships" name="Set 01" sheetId="2" r:id="Rf49ff877cd474504"/>
    <x:sheet xmlns:r="http://schemas.openxmlformats.org/officeDocument/2006/relationships" name="Listes" sheetId="3" r:id="R629a2b8e2e084595"/>
    <x:sheet xmlns:r="http://schemas.openxmlformats.org/officeDocument/2006/relationships" name="Balance" sheetId="4" r:id="Rcf123a15bc094bb9"/>
    <x:sheet xmlns:r="http://schemas.openxmlformats.org/officeDocument/2006/relationships" name="Prompts" sheetId="5" r:id="R1250bb09aa1545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sz val="11"/>
      <x:color rgb="FF1F1A17"/>
      <x:name val="Carlito"/>
    </x:font>
    <x:font>
      <x:b/>
      <x:sz val="16"/>
      <x:color rgb="FFFFFFFF"/>
      <x:name val="Carlito"/>
    </x:font>
    <x:font>
      <x:b/>
      <x:sz val="11"/>
      <x:name val="Carlito"/>
    </x:font>
    <x:font>
      <x:b/>
      <x:sz val="18"/>
      <x:color rgb="FFFFFFFF"/>
      <x:name val="Carlito"/>
    </x:font>
    <x:font>
      <x:b/>
      <x:sz val="11"/>
      <x:color rgb="FF1F1A17"/>
      <x:name val="Carlito"/>
    </x:font>
  </x:fonts>
  <x:fills count="8">
    <x:fill>
      <x:patternFill patternType="none"/>
    </x:fill>
    <x:fill>
      <x:patternFill patternType="gray125"/>
    </x:fill>
    <x:fill>
      <x:patternFill patternType="solid">
        <x:fgColor rgb="FF33231C"/>
      </x:patternFill>
    </x:fill>
    <x:fill>
      <x:patternFill patternType="solid">
        <x:fgColor rgb="FFFFF8DC"/>
      </x:patternFill>
    </x:fill>
    <x:fill>
      <x:patternFill patternType="solid">
        <x:fgColor rgb="FFFFFDF6"/>
      </x:patternFill>
    </x:fill>
    <x:fill>
      <x:patternFill patternType="solid">
        <x:fgColor rgb="FF211814"/>
      </x:patternFill>
    </x:fill>
    <x:fill>
      <x:patternFill patternType="solid">
        <x:fgColor rgb="FFE9DED0"/>
      </x:patternFill>
    </x:fill>
    <x:fill>
      <x:patternFill patternType="solid">
        <x:fgColor rgb="FFEAF3F8"/>
      </x:patternFill>
    </x:fill>
  </x:fills>
  <x:borders count="9">
    <x:border/>
    <x:border>
      <x:left style="thin">
        <x:color rgb="FFD7C7B5"/>
      </x:left>
      <x:right style="thin">
        <x:color rgb="FFD7C7B5"/>
      </x:right>
      <x:top style="thin">
        <x:color rgb="FFD7C7B5"/>
      </x:top>
      <x:bottom style="thin">
        <x:color rgb="FFD7C7B5"/>
      </x:bottom>
    </x:border>
    <x:border>
      <x:left style="thin">
        <x:color rgb="FFD7C7B5"/>
      </x:left>
      <x:top style="thin">
        <x:color rgb="FFD7C7B5"/>
      </x:top>
    </x:border>
    <x:border>
      <x:right style="thin">
        <x:color rgb="FFD7C7B5"/>
      </x:right>
      <x:top style="thin">
        <x:color rgb="FFD7C7B5"/>
      </x:top>
    </x:border>
    <x:border>
      <x:left style="thin">
        <x:color rgb="FFD7C7B5"/>
      </x:left>
    </x:border>
    <x:border>
      <x:right style="thin">
        <x:color rgb="FFD7C7B5"/>
      </x:right>
    </x:border>
    <x:border>
      <x:left style="thin">
        <x:color rgb="FFD7C7B5"/>
      </x:left>
      <x:bottom style="thin">
        <x:color rgb="FFD7C7B5"/>
      </x:bottom>
    </x:border>
    <x:border>
      <x:right style="thin">
        <x:color rgb="FFD7C7B5"/>
      </x:right>
      <x:bottom style="thin">
        <x:color rgb="FFD7C7B5"/>
      </x:bottom>
    </x:border>
    <x:border>
      <x:left style="thin">
        <x:color rgb="FFE1D2C2"/>
      </x:left>
      <x:right style="thin">
        <x:color rgb="FFE1D2C2"/>
      </x:right>
      <x:top style="thin">
        <x:color rgb="FFE1D2C2"/>
      </x:top>
      <x:bottom style="thin">
        <x:color rgb="FFE1D2C2"/>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5" borderId="0" xfId="0" applyNumberFormat="1" applyFont="1" applyFill="1" applyBorder="1"/>
    <x:xf numFmtId="0" fontId="0" fillId="4" borderId="0"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6" fillId="4" borderId="2" xfId="0" applyNumberFormat="1" applyFont="1" applyFill="1" applyBorder="1"/>
    <x:xf numFmtId="0" fontId="6" fillId="4" borderId="4" xfId="0" applyNumberFormat="1" applyFont="1" applyFill="1" applyBorder="1"/>
    <x:xf numFmtId="0" fontId="6" fillId="4" borderId="6" xfId="0" applyNumberFormat="1" applyFont="1" applyFill="1" applyBorder="1"/>
    <x:xf numFmtId="0" fontId="0" fillId="7" borderId="3" xfId="0" applyNumberFormat="1" applyFont="1" applyFill="1" applyBorder="1"/>
    <x:xf numFmtId="0" fontId="0" fillId="7" borderId="5" xfId="0" applyNumberFormat="1" applyFont="1" applyFill="1" applyBorder="1"/>
    <x:xf numFmtId="0" fontId="0" fillId="7" borderId="7" xfId="0" applyNumberFormat="1" applyFont="1" applyFill="1" applyBorder="1"/>
    <x:xf numFmtId="0" fontId="4" fillId="7" borderId="3" xfId="0" applyNumberFormat="1" applyFont="1" applyFill="1" applyBorder="1"/>
    <x:xf numFmtId="0" fontId="4" fillId="7" borderId="5" xfId="0" applyNumberFormat="1" applyFont="1" applyFill="1" applyBorder="1"/>
    <x:xf numFmtId="0" fontId="4" fillId="7" borderId="7" xfId="0" applyNumberFormat="1" applyFont="1" applyFill="1" applyBorder="1"/>
    <x:xf numFmtId="200" fontId="4" fillId="7" borderId="3" xfId="0" applyNumberFormat="1" applyFont="1" applyFill="1" applyBorder="1"/>
    <x:xf numFmtId="200" fontId="4" fillId="7" borderId="5" xfId="0" applyNumberFormat="1" applyFont="1" applyFill="1" applyBorder="1"/>
    <x:xf numFmtId="200" fontId="4" fillId="7" borderId="7" xfId="0" applyNumberFormat="1" applyFont="1" applyFill="1" applyBorder="1"/>
    <x:xf numFmtId="0" fontId="0" fillId="4" borderId="8" xfId="0" applyNumberFormat="1" applyFont="1" applyFill="1" applyBorder="1"/>
  </x:cellXfs>
  <x:cellStyles count="1">
    <x:cellStyle name="Normal" xfId="0"/>
  </x:cellStyles>
  <x:dxfs count="7">
    <x:dxf>
      <x:fill>
        <x:patternFill patternType="solid">
          <x:bgColor rgb="FFF7E7D4"/>
        </x:patternFill>
      </x:fill>
    </x:dxf>
    <x:dxf>
      <x:fill>
        <x:patternFill patternType="solid">
          <x:bgColor rgb="FFF8F1C8"/>
        </x:patternFill>
      </x:fill>
    </x:dxf>
    <x:dxf>
      <x:fill>
        <x:patternFill patternType="solid">
          <x:bgColor rgb="FFDDF0F2"/>
        </x:patternFill>
      </x:fill>
    </x:dxf>
    <x:dxf>
      <x:fill>
        <x:patternFill patternType="solid">
          <x:bgColor rgb="FFDCEEDB"/>
        </x:patternFill>
      </x:fill>
    </x:dxf>
    <x:dxf>
      <x:fill>
        <x:patternFill patternType="solid">
          <x:bgColor rgb="FFCFE8D2"/>
        </x:patternFill>
      </x:fill>
    </x:dxf>
    <x:dxf>
      <x:font>
        <x:b/>
        <x:color rgb="FF4D2B7A"/>
      </x:font>
      <x:fill>
        <x:patternFill patternType="solid">
          <x:bgColor rgb="FFEFE4FF"/>
        </x:patternFill>
      </x:fill>
    </x:dxf>
    <x:dxf>
      <x:font>
        <x:b/>
        <x:color rgb="FF5C3B00"/>
      </x:font>
      <x:fill>
        <x:patternFill patternType="solid">
          <x:bgColor rgb="FFF8E5B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36845e5f2445bd" /><Relationship Type="http://schemas.openxmlformats.org/officeDocument/2006/relationships/theme" Target="/xl/theme/theme1.xml" Id="R9bc6f4277b854879" /><Relationship Type="http://schemas.openxmlformats.org/officeDocument/2006/relationships/sharedStrings" Target="/xl/sharedStrings.xml" Id="R78a7f3e8e8fd4ed0" /><Relationship Type="http://schemas.openxmlformats.org/officeDocument/2006/relationships/worksheet" Target="/xl/worksheets/sheet1.xml" Id="R30ada0d875304c34" /><Relationship Type="http://schemas.openxmlformats.org/officeDocument/2006/relationships/worksheet" Target="/xl/worksheets/sheet2.xml" Id="Rf49ff877cd474504" /><Relationship Type="http://schemas.openxmlformats.org/officeDocument/2006/relationships/worksheet" Target="/xl/worksheets/sheet3.xml" Id="R629a2b8e2e084595" /><Relationship Type="http://schemas.openxmlformats.org/officeDocument/2006/relationships/worksheet" Target="/xl/worksheets/sheet4.xml" Id="Rcf123a15bc094bb9" /><Relationship Type="http://schemas.openxmlformats.org/officeDocument/2006/relationships/worksheet" Target="/xl/worksheets/sheet5.xml" Id="R1250bb09aa1545db" /></Relationships>
</file>

<file path=xl/tables/table1.xml><?xml version="1.0" encoding="utf-8"?>
<x:table xmlns:x="http://schemas.openxmlformats.org/spreadsheetml/2006/main" id="1" name="Set01Table" displayName="Set01Table" ref="A1:T61" headerRowCount="1" totalsRowCount="0" totalsRowShown="0">
  <x:autoFilter ref="A1:T61"/>
  <x:tableColumns count="20">
    <x:tableColumn id="1" name="Slot"/>
    <x:tableColumn id="2" name="Peuple"/>
    <x:tableColumn id="3" name="Camp"/>
    <x:tableColumn id="4" name="Kit visuel"/>
    <x:tableColumn id="5" name="Rareté"/>
    <x:tableColumn id="6" name="Code"/>
    <x:tableColumn id="7" name="Type"/>
    <x:tableColumn id="8" name="Coût"/>
    <x:tableColumn id="9" name="ATQ"/>
    <x:tableColumn id="10" name="Intégrité"/>
    <x:tableColumn id="11" name="Mot-clé"/>
    <x:tableColumn id="12" name="Prononcer"/>
    <x:tableColumn id="13" name="Rôle gameplay"/>
    <x:tableColumn id="14" name="Halo"/>
    <x:tableColumn id="15" name="Densité"/>
    <x:tableColumn id="16" name="Nom carte"/>
    <x:tableColumn id="17" name="Texte règle"/>
    <x:tableColumn id="18" name="Prompt MJ"/>
    <x:tableColumn id="19" name="Statut"/>
    <x:tableColumn id="2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757e4c97cb4e38" /></Relationships>
</file>

<file path=xl/worksheets/sheet1.xml><?xml version="1.0" encoding="utf-8"?>
<x:worksheet xmlns:x="http://schemas.openxmlformats.org/spreadsheetml/2006/main">
  <x:sheetViews>
    <x:sheetView showGridLines="0" workbookViewId="0"/>
  </x:sheetViews>
  <x:sheetFormatPr defaultRowHeight="15"/>
  <x:cols>
    <x:col min="1" max="1" width="16.25" hidden="0" customWidth="1"/>
    <x:col min="2" max="2" width="16.25" hidden="0" customWidth="1"/>
    <x:col min="3" max="3" width="16.25" hidden="0" customWidth="1"/>
    <x:col min="4" max="4" width="16.25" hidden="0" customWidth="1"/>
    <x:col min="5" max="5" width="16.25" hidden="0" customWidth="1"/>
    <x:col min="6" max="6" width="16.25" hidden="0" customWidth="1"/>
    <x:col min="7" max="7" width="16.25" hidden="0" customWidth="1"/>
    <x:col min="8" max="8" width="16.25" hidden="0" customWidth="1"/>
  </x:cols>
  <x:sheetData>
    <x:row r="1" ht="25.5" customHeight="1">
      <x:c r="A1" s="20" t="str">
        <x:v>EXPELLED — Set 01 : Le Silence</x:v>
      </x:c>
      <x:c r="B1" s="20"/>
      <x:c r="C1" s="20"/>
      <x:c r="D1" s="20"/>
      <x:c r="E1" s="20"/>
      <x:c r="F1" s="20"/>
      <x:c r="G1" s="20"/>
      <x:c r="H1" s="20"/>
    </x:row>
    <x:row r="3">
      <x:c r="A3" s="28" t="str">
        <x:v>Total slots</x:v>
      </x:c>
      <x:c r="B3" s="37" t="n">
        <x:f>COUNTA('Set 01'!$A$2:$A$61)</x:f>
        <x:v>60</x:v>
      </x:c>
      <x:c r="D3" s="2" t="str">
        <x:v>Peuple</x:v>
      </x:c>
      <x:c r="E3" s="2" t="str">
        <x:v>Total</x:v>
      </x:c>
      <x:c r="F3" s="2" t="str">
        <x:v>Commune</x:v>
      </x:c>
      <x:c r="G3" s="2" t="str">
        <x:v>Rare</x:v>
      </x:c>
      <x:c r="H3" s="2" t="str">
        <x:v>Prismatique</x:v>
      </x:c>
    </x:row>
    <x:row r="4">
      <x:c r="A4" s="29" t="str">
        <x:v>Cartes nommées</x:v>
      </x:c>
      <x:c r="B4" s="38" t="n">
        <x:f>COUNTIF('Set 01'!$P$2:$P$61,"&lt;&gt;À nommer")</x:f>
        <x:v>0</x:v>
      </x:c>
      <x:c r="D4" s="40" t="str">
        <x:v>Vasar</x:v>
      </x:c>
      <x:c r="E4" s="40" t="n">
        <x:f>COUNTIF('Set 01'!$B$2:$B$61,D4)</x:f>
        <x:v>22</x:v>
      </x:c>
      <x:c r="F4" s="40" t="n">
        <x:f>COUNTIFS('Set 01'!$B$2:$B$61,$D4,'Set 01'!$E$2:$E$61,F$3)</x:f>
        <x:v>9</x:v>
      </x:c>
      <x:c r="G4" s="40" t="n">
        <x:f>COUNTIFS('Set 01'!$B$2:$B$61,$D4,'Set 01'!$E$2:$E$61,G$3)</x:f>
        <x:v>6</x:v>
      </x:c>
      <x:c r="H4" s="40" t="n">
        <x:f>COUNTIFS('Set 01'!$B$2:$B$61,$D4,'Set 01'!$E$2:$E$61,H$3)</x:f>
        <x:v>1</x:v>
      </x:c>
    </x:row>
    <x:row r="5">
      <x:c r="A5" s="29" t="str">
        <x:v>Prompts prêts</x:v>
      </x:c>
      <x:c r="B5" s="38" t="n">
        <x:f>COUNTIF('Set 01'!$S$2:$S$61,"Prompt prêt")</x:f>
        <x:v>0</x:v>
      </x:c>
      <x:c r="D5" s="40" t="str">
        <x:v>Exar</x:v>
      </x:c>
      <x:c r="E5" s="40" t="n">
        <x:f>COUNTIF('Set 01'!$B$2:$B$61,D5)</x:f>
        <x:v>22</x:v>
      </x:c>
      <x:c r="F5" s="40" t="n">
        <x:f>COUNTIFS('Set 01'!$B$2:$B$61,$D5,'Set 01'!$E$2:$E$61,F$3)</x:f>
        <x:v>9</x:v>
      </x:c>
      <x:c r="G5" s="40" t="n">
        <x:f>COUNTIFS('Set 01'!$B$2:$B$61,$D5,'Set 01'!$E$2:$E$61,G$3)</x:f>
        <x:v>6</x:v>
      </x:c>
      <x:c r="H5" s="40" t="n">
        <x:f>COUNTIFS('Set 01'!$B$2:$B$61,$D5,'Set 01'!$E$2:$E$61,H$3)</x:f>
        <x:v>1</x:v>
      </x:c>
    </x:row>
    <x:row r="6">
      <x:c r="A6" s="29" t="str">
        <x:v>Cartes générées</x:v>
      </x:c>
      <x:c r="B6" s="38" t="n">
        <x:f>COUNTIF('Set 01'!$S$2:$S$61,"Généré")</x:f>
        <x:v>0</x:v>
      </x:c>
      <x:c r="D6" s="40" t="str">
        <x:v>Eshar</x:v>
      </x:c>
      <x:c r="E6" s="40" t="n">
        <x:f>COUNTIF('Set 01'!$B$2:$B$61,D6)</x:f>
        <x:v>6</x:v>
      </x:c>
      <x:c r="F6" s="40" t="n">
        <x:f>COUNTIFS('Set 01'!$B$2:$B$61,$D6,'Set 01'!$E$2:$E$61,F$3)</x:f>
        <x:v>3</x:v>
      </x:c>
      <x:c r="G6" s="40" t="n">
        <x:f>COUNTIFS('Set 01'!$B$2:$B$61,$D6,'Set 01'!$E$2:$E$61,G$3)</x:f>
        <x:v>1</x:v>
      </x:c>
      <x:c r="H6" s="40" t="n">
        <x:f>COUNTIFS('Set 01'!$B$2:$B$61,$D6,'Set 01'!$E$2:$E$61,H$3)</x:f>
        <x:v>0</x:v>
      </x:c>
    </x:row>
    <x:row r="7">
      <x:c r="A7" s="29" t="str">
        <x:v>Cartes intégrées</x:v>
      </x:c>
      <x:c r="B7" s="38" t="n">
        <x:f>COUNTIF('Set 01'!$S$2:$S$61,"Intégré")</x:f>
        <x:v>0</x:v>
      </x:c>
      <x:c r="D7" s="40" t="str">
        <x:v>Morar</x:v>
      </x:c>
      <x:c r="E7" s="40" t="n">
        <x:f>COUNTIF('Set 01'!$B$2:$B$61,D7)</x:f>
        <x:v>5</x:v>
      </x:c>
      <x:c r="F7" s="40" t="n">
        <x:f>COUNTIFS('Set 01'!$B$2:$B$61,$D7,'Set 01'!$E$2:$E$61,F$3)</x:f>
        <x:v>3</x:v>
      </x:c>
      <x:c r="G7" s="40" t="n">
        <x:f>COUNTIFS('Set 01'!$B$2:$B$61,$D7,'Set 01'!$E$2:$E$61,G$3)</x:f>
        <x:v>1</x:v>
      </x:c>
      <x:c r="H7" s="40" t="n">
        <x:f>COUNTIFS('Set 01'!$B$2:$B$61,$D7,'Set 01'!$E$2:$E$61,H$3)</x:f>
        <x:v>0</x:v>
      </x:c>
    </x:row>
    <x:row r="8">
      <x:c r="A8" s="30" t="str">
        <x:v>Cartes testées</x:v>
      </x:c>
      <x:c r="B8" s="39" t="n">
        <x:f>COUNTIF('Set 01'!$S$2:$S$61,"Testé")</x:f>
        <x:v>0</x:v>
      </x:c>
      <x:c r="D8" s="40" t="str">
        <x:v>Velar</x:v>
      </x:c>
      <x:c r="E8" s="40" t="n">
        <x:f>COUNTIF('Set 01'!$B$2:$B$61,D8)</x:f>
        <x:v>5</x:v>
      </x:c>
      <x:c r="F8" s="40" t="n">
        <x:f>COUNTIFS('Set 01'!$B$2:$B$61,$D8,'Set 01'!$E$2:$E$61,F$3)</x:f>
        <x:v>2</x:v>
      </x:c>
      <x:c r="G8" s="40" t="n">
        <x:f>COUNTIFS('Set 01'!$B$2:$B$61,$D8,'Set 01'!$E$2:$E$61,G$3)</x:f>
        <x:v>2</x:v>
      </x:c>
      <x:c r="H8" s="40" t="n">
        <x:f>COUNTIFS('Set 01'!$B$2:$B$61,$D8,'Set 01'!$E$2:$E$61,H$3)</x:f>
        <x:v>0</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8" max="18" width="52.5" hidden="0" customWidth="1"/>
    <x:col min="17" max="17" width="32.5" hidden="0" customWidth="1"/>
    <x:col min="20" max="20" width="27.5" hidden="0" customWidth="1"/>
    <x:col min="1" max="1" width="7.25" hidden="0" customWidth="1"/>
    <x:col min="2" max="2" width="11.75" hidden="0" customWidth="1"/>
    <x:col min="3" max="3" width="11.75" hidden="0" customWidth="1"/>
    <x:col min="4" max="4" width="11.75" hidden="0" customWidth="1"/>
    <x:col min="5" max="5" width="11.75" hidden="0" customWidth="1"/>
    <x:col min="6" max="6" width="8.75" hidden="0" customWidth="1"/>
    <x:col min="7" max="7" width="8.75" hidden="0" customWidth="1"/>
    <x:col min="8" max="8" width="8.75" hidden="0" customWidth="1"/>
    <x:col min="9" max="9" width="8.75" hidden="0" customWidth="1"/>
    <x:col min="10" max="10" width="8.75" hidden="0" customWidth="1"/>
    <x:col min="11" max="11" width="15" hidden="0" customWidth="1"/>
    <x:col min="12" max="12" width="15" hidden="0" customWidth="1"/>
    <x:col min="13" max="13" width="15" hidden="0" customWidth="1"/>
    <x:col min="14" max="14" width="15" hidden="0" customWidth="1"/>
    <x:col min="15" max="15" width="15" hidden="0" customWidth="1"/>
    <x:col min="16" max="16" width="17.5" hidden="0" customWidth="1"/>
  </x:cols>
  <x:sheetData>
    <x:row r="1" ht="31.5" customHeight="1">
      <x:c r="A1" s="3" t="str">
        <x:v>Slot</x:v>
      </x:c>
      <x:c r="B1" s="3" t="str">
        <x:v>Peuple</x:v>
      </x:c>
      <x:c r="C1" s="3" t="str">
        <x:v>Camp</x:v>
      </x:c>
      <x:c r="D1" s="3" t="str">
        <x:v>Kit visuel</x:v>
      </x:c>
      <x:c r="E1" s="3" t="str">
        <x:v>Rareté</x:v>
      </x:c>
      <x:c r="F1" s="3" t="str">
        <x:v>Code</x:v>
      </x:c>
      <x:c r="G1" s="3" t="str">
        <x:v>Type</x:v>
      </x:c>
      <x:c r="H1" s="3" t="str">
        <x:v>Coût</x:v>
      </x:c>
      <x:c r="I1" s="3" t="str">
        <x:v>ATQ</x:v>
      </x:c>
      <x:c r="J1" s="3" t="str">
        <x:v>Intégrité</x:v>
      </x:c>
      <x:c r="K1" s="3" t="str">
        <x:v>Mot-clé</x:v>
      </x:c>
      <x:c r="L1" s="3" t="str">
        <x:v>Prononcer</x:v>
      </x:c>
      <x:c r="M1" s="3" t="str">
        <x:v>Rôle gameplay</x:v>
      </x:c>
      <x:c r="N1" s="3" t="str">
        <x:v>Halo</x:v>
      </x:c>
      <x:c r="O1" s="3" t="str">
        <x:v>Densité</x:v>
      </x:c>
      <x:c r="P1" s="3" t="str">
        <x:v>Nom carte</x:v>
      </x:c>
      <x:c r="Q1" s="3" t="str">
        <x:v>Texte règle</x:v>
      </x:c>
      <x:c r="R1" s="3" t="str">
        <x:v>Prompt MJ</x:v>
      </x:c>
      <x:c r="S1" s="3" t="str">
        <x:v>Statut</x:v>
      </x:c>
      <x:c r="T1" s="3" t="str">
        <x:v>Notes</x:v>
      </x:c>
    </x:row>
    <x:row r="2" ht="31.5" customHeight="1">
      <x:c r="A2" s="6" t="str">
        <x:v>V01</x:v>
      </x:c>
      <x:c r="B2" s="6" t="str">
        <x:v>Vasar</x:v>
      </x:c>
      <x:c r="C2" s="6" t="str">
        <x:v>Majeure</x:v>
      </x:c>
      <x:c r="D2" s="6" t="str">
        <x:v>Sacré</x:v>
      </x:c>
      <x:c r="E2" s="6" t="str">
        <x:v>Commune</x:v>
      </x:c>
      <x:c r="F2" s="6" t="str">
        <x:v>C</x:v>
      </x:c>
      <x:c r="G2" s="6" t="str">
        <x:v>Être</x:v>
      </x:c>
      <x:c r="H2" s="8" t="n">
        <x:v>3</x:v>
      </x:c>
      <x:c r="I2" s="8" t="n">
        <x:v>3</x:v>
      </x:c>
      <x:c r="J2" s="8" t="n">
        <x:v>3</x:v>
      </x:c>
      <x:c r="K2" s="9" t="str"/>
      <x:c r="L2" s="9" t="str"/>
      <x:c r="M2" s="6" t="str">
        <x:v>Serment / protection</x:v>
      </x:c>
      <x:c r="N2" s="6" t="str">
        <x:v>Halo simple</x:v>
      </x:c>
      <x:c r="O2" s="6" t="str">
        <x:v>Faible</x:v>
      </x:c>
      <x:c r="P2" s="10" t="str">
        <x:v>À nommer</x:v>
      </x:c>
      <x:c r="Q2" s="10" t="str"/>
      <x:c r="R2" s="10" t="str">
        <x:v>sacred guardian, ivory ceremonial robe, golden halo, thin gold chains, warm ivory palette, calm pose, clean graphic illustration, flat background, generous negative space, full-art trading card composition --sref [SACRED_REFS] --sw 200 --no text, logo, watermark</x:v>
      </x:c>
      <x:c r="S2" s="10" t="str">
        <x:v>À concevoir</x:v>
      </x:c>
      <x:c r="T2" s="10" t="str"/>
    </x:row>
    <x:row r="3" ht="31.5" customHeight="1">
      <x:c r="A3" s="6" t="str">
        <x:v>V02</x:v>
      </x:c>
      <x:c r="B3" s="6" t="str">
        <x:v>Vasar</x:v>
      </x:c>
      <x:c r="C3" s="6" t="str">
        <x:v>Majeure</x:v>
      </x:c>
      <x:c r="D3" s="6" t="str">
        <x:v>Sacré</x:v>
      </x:c>
      <x:c r="E3" s="6" t="str">
        <x:v>Commune</x:v>
      </x:c>
      <x:c r="F3" s="6" t="str">
        <x:v>C</x:v>
      </x:c>
      <x:c r="G3" s="6" t="str">
        <x:v>Être</x:v>
      </x:c>
      <x:c r="H3" s="8" t="n">
        <x:v>4</x:v>
      </x:c>
      <x:c r="I3" s="8" t="n">
        <x:v>4</x:v>
      </x:c>
      <x:c r="J3" s="8" t="n">
        <x:v>4</x:v>
      </x:c>
      <x:c r="K3" s="9" t="str"/>
      <x:c r="L3" s="9" t="str"/>
      <x:c r="M3" s="6" t="str">
        <x:v>Buff de masse</x:v>
      </x:c>
      <x:c r="N3" s="6" t="str">
        <x:v>Halo simple</x:v>
      </x:c>
      <x:c r="O3" s="6" t="str">
        <x:v>Faible</x:v>
      </x:c>
      <x:c r="P3" s="10" t="str">
        <x:v>À nommer</x:v>
      </x:c>
      <x:c r="Q3" s="10" t="str"/>
      <x:c r="R3" s="10" t="str">
        <x:v>sacred guardian, ivory ceremonial robe, golden halo, thin gold chains, warm ivory palette, calm pose, clean graphic illustration, flat background, generous negative space, full-art trading card composition --sref [SACRED_REFS] --sw 200 --no text, logo, watermark</x:v>
      </x:c>
      <x:c r="S3" s="10" t="str">
        <x:v>À concevoir</x:v>
      </x:c>
      <x:c r="T3" s="10" t="str"/>
    </x:row>
    <x:row r="4" ht="31.5" customHeight="1">
      <x:c r="A4" s="6" t="str">
        <x:v>V03</x:v>
      </x:c>
      <x:c r="B4" s="6" t="str">
        <x:v>Vasar</x:v>
      </x:c>
      <x:c r="C4" s="6" t="str">
        <x:v>Majeure</x:v>
      </x:c>
      <x:c r="D4" s="6" t="str">
        <x:v>Sacré</x:v>
      </x:c>
      <x:c r="E4" s="6" t="str">
        <x:v>Commune</x:v>
      </x:c>
      <x:c r="F4" s="6" t="str">
        <x:v>C</x:v>
      </x:c>
      <x:c r="G4" s="6" t="str">
        <x:v>Être</x:v>
      </x:c>
      <x:c r="H4" s="8" t="n">
        <x:v>2</x:v>
      </x:c>
      <x:c r="I4" s="8" t="n">
        <x:v>2</x:v>
      </x:c>
      <x:c r="J4" s="8" t="n">
        <x:v>2</x:v>
      </x:c>
      <x:c r="K4" s="9" t="str"/>
      <x:c r="L4" s="9" t="str"/>
      <x:c r="M4" s="6" t="str">
        <x:v>Récitation / tempo lent</x:v>
      </x:c>
      <x:c r="N4" s="6" t="str">
        <x:v>Halo simple</x:v>
      </x:c>
      <x:c r="O4" s="6" t="str">
        <x:v>Faible</x:v>
      </x:c>
      <x:c r="P4" s="10" t="str">
        <x:v>À nommer</x:v>
      </x:c>
      <x:c r="Q4" s="10" t="str"/>
      <x:c r="R4" s="10" t="str">
        <x:v>sacred guardian, ivory ceremonial robe, golden halo, thin gold chains, warm ivory palette, calm pose, clean graphic illustration, flat background, generous negative space, full-art trading card composition --sref [SACRED_REFS] --sw 200 --no text, logo, watermark</x:v>
      </x:c>
      <x:c r="S4" s="10" t="str">
        <x:v>À concevoir</x:v>
      </x:c>
      <x:c r="T4" s="10" t="str"/>
    </x:row>
    <x:row r="5" ht="31.5" customHeight="1">
      <x:c r="A5" s="6" t="str">
        <x:v>V04</x:v>
      </x:c>
      <x:c r="B5" s="6" t="str">
        <x:v>Vasar</x:v>
      </x:c>
      <x:c r="C5" s="6" t="str">
        <x:v>Majeure</x:v>
      </x:c>
      <x:c r="D5" s="6" t="str">
        <x:v>Sacré</x:v>
      </x:c>
      <x:c r="E5" s="6" t="str">
        <x:v>Commune</x:v>
      </x:c>
      <x:c r="F5" s="6" t="str">
        <x:v>C</x:v>
      </x:c>
      <x:c r="G5" s="6" t="str">
        <x:v>Verbe</x:v>
      </x:c>
      <x:c r="H5" s="8" t="n">
        <x:v>5</x:v>
      </x:c>
      <x:c r="I5" s="8" t="str"/>
      <x:c r="J5" s="8" t="str"/>
      <x:c r="K5" s="9" t="str"/>
      <x:c r="L5" s="9" t="str"/>
      <x:c r="M5" s="6" t="str">
        <x:v>Punition Prononcer</x:v>
      </x:c>
      <x:c r="N5" s="6" t="str">
        <x:v>Halo simple</x:v>
      </x:c>
      <x:c r="O5" s="6" t="str">
        <x:v>Faible</x:v>
      </x:c>
      <x:c r="P5" s="10" t="str">
        <x:v>À nommer</x:v>
      </x:c>
      <x:c r="Q5" s="10" t="str"/>
      <x:c r="R5" s="10" t="str">
        <x:v>sacred guardian, ivory ceremonial robe, golden halo, thin gold chains, warm ivory palette, calm pose, clean graphic illustration, flat background, generous negative space, full-art trading card composition --sref [SACRED_REFS] --sw 200 --no text, logo, watermark</x:v>
      </x:c>
      <x:c r="S5" s="10" t="str">
        <x:v>À concevoir</x:v>
      </x:c>
      <x:c r="T5" s="10" t="str"/>
    </x:row>
    <x:row r="6" ht="31.5" customHeight="1">
      <x:c r="A6" s="6" t="str">
        <x:v>V05</x:v>
      </x:c>
      <x:c r="B6" s="6" t="str">
        <x:v>Vasar</x:v>
      </x:c>
      <x:c r="C6" s="6" t="str">
        <x:v>Majeure</x:v>
      </x:c>
      <x:c r="D6" s="6" t="str">
        <x:v>Sacré</x:v>
      </x:c>
      <x:c r="E6" s="6" t="str">
        <x:v>Commune</x:v>
      </x:c>
      <x:c r="F6" s="6" t="str">
        <x:v>C</x:v>
      </x:c>
      <x:c r="G6" s="6" t="str">
        <x:v>Être</x:v>
      </x:c>
      <x:c r="H6" s="8" t="n">
        <x:v>4</x:v>
      </x:c>
      <x:c r="I6" s="8" t="n">
        <x:v>4</x:v>
      </x:c>
      <x:c r="J6" s="8" t="n">
        <x:v>4</x:v>
      </x:c>
      <x:c r="K6" s="9" t="str"/>
      <x:c r="L6" s="9" t="str"/>
      <x:c r="M6" s="6" t="str">
        <x:v>Stabilisation</x:v>
      </x:c>
      <x:c r="N6" s="6" t="str">
        <x:v>Halo simple</x:v>
      </x:c>
      <x:c r="O6" s="6" t="str">
        <x:v>Faible</x:v>
      </x:c>
      <x:c r="P6" s="10" t="str">
        <x:v>À nommer</x:v>
      </x:c>
      <x:c r="Q6" s="10" t="str"/>
      <x:c r="R6" s="10" t="str">
        <x:v>sacred guardian, ivory ceremonial robe, golden halo, thin gold chains, warm ivory palette, calm pose, clean graphic illustration, flat background, generous negative space, full-art trading card composition --sref [SACRED_REFS] --sw 200 --no text, logo, watermark</x:v>
      </x:c>
      <x:c r="S6" s="10" t="str">
        <x:v>À concevoir</x:v>
      </x:c>
      <x:c r="T6" s="10" t="str"/>
    </x:row>
    <x:row r="7" ht="31.5" customHeight="1">
      <x:c r="A7" s="6" t="str">
        <x:v>V06</x:v>
      </x:c>
      <x:c r="B7" s="6" t="str">
        <x:v>Vasar</x:v>
      </x:c>
      <x:c r="C7" s="6" t="str">
        <x:v>Majeure</x:v>
      </x:c>
      <x:c r="D7" s="6" t="str">
        <x:v>Sacré</x:v>
      </x:c>
      <x:c r="E7" s="6" t="str">
        <x:v>Commune</x:v>
      </x:c>
      <x:c r="F7" s="6" t="str">
        <x:v>C</x:v>
      </x:c>
      <x:c r="G7" s="6" t="str">
        <x:v>Être</x:v>
      </x:c>
      <x:c r="H7" s="8" t="n">
        <x:v>2</x:v>
      </x:c>
      <x:c r="I7" s="8" t="n">
        <x:v>2</x:v>
      </x:c>
      <x:c r="J7" s="8" t="n">
        <x:v>2</x:v>
      </x:c>
      <x:c r="K7" s="9" t="str"/>
      <x:c r="L7" s="9" t="str"/>
      <x:c r="M7" s="6" t="str">
        <x:v>Serment / protection</x:v>
      </x:c>
      <x:c r="N7" s="6" t="str">
        <x:v>Halo simple</x:v>
      </x:c>
      <x:c r="O7" s="6" t="str">
        <x:v>Faible</x:v>
      </x:c>
      <x:c r="P7" s="10" t="str">
        <x:v>À nommer</x:v>
      </x:c>
      <x:c r="Q7" s="10" t="str"/>
      <x:c r="R7" s="10" t="str">
        <x:v>sacred guardian, ivory ceremonial robe, golden halo, thin gold chains, warm ivory palette, calm pose, clean graphic illustration, flat background, generous negative space, full-art trading card composition --sref [SACRED_REFS] --sw 200 --no text, logo, watermark</x:v>
      </x:c>
      <x:c r="S7" s="10" t="str">
        <x:v>À concevoir</x:v>
      </x:c>
      <x:c r="T7" s="10" t="str"/>
    </x:row>
    <x:row r="8" ht="31.5" customHeight="1">
      <x:c r="A8" s="6" t="str">
        <x:v>V07</x:v>
      </x:c>
      <x:c r="B8" s="6" t="str">
        <x:v>Vasar</x:v>
      </x:c>
      <x:c r="C8" s="6" t="str">
        <x:v>Majeure</x:v>
      </x:c>
      <x:c r="D8" s="6" t="str">
        <x:v>Sacré</x:v>
      </x:c>
      <x:c r="E8" s="6" t="str">
        <x:v>Commune</x:v>
      </x:c>
      <x:c r="F8" s="6" t="str">
        <x:v>C</x:v>
      </x:c>
      <x:c r="G8" s="6" t="str">
        <x:v>Être</x:v>
      </x:c>
      <x:c r="H8" s="8" t="n">
        <x:v>3</x:v>
      </x:c>
      <x:c r="I8" s="8" t="n">
        <x:v>3</x:v>
      </x:c>
      <x:c r="J8" s="8" t="n">
        <x:v>3</x:v>
      </x:c>
      <x:c r="K8" s="9" t="str"/>
      <x:c r="L8" s="9" t="str"/>
      <x:c r="M8" s="6" t="str">
        <x:v>Buff de masse</x:v>
      </x:c>
      <x:c r="N8" s="6" t="str">
        <x:v>Halo simple</x:v>
      </x:c>
      <x:c r="O8" s="6" t="str">
        <x:v>Faible</x:v>
      </x:c>
      <x:c r="P8" s="10" t="str">
        <x:v>À nommer</x:v>
      </x:c>
      <x:c r="Q8" s="10" t="str"/>
      <x:c r="R8" s="10" t="str">
        <x:v>sacred guardian, ivory ceremonial robe, golden halo, thin gold chains, warm ivory palette, calm pose, clean graphic illustration, flat background, generous negative space, full-art trading card composition --sref [SACRED_REFS] --sw 200 --no text, logo, watermark</x:v>
      </x:c>
      <x:c r="S8" s="10" t="str">
        <x:v>À concevoir</x:v>
      </x:c>
      <x:c r="T8" s="10" t="str"/>
    </x:row>
    <x:row r="9" ht="31.5" customHeight="1">
      <x:c r="A9" s="6" t="str">
        <x:v>V08</x:v>
      </x:c>
      <x:c r="B9" s="6" t="str">
        <x:v>Vasar</x:v>
      </x:c>
      <x:c r="C9" s="6" t="str">
        <x:v>Majeure</x:v>
      </x:c>
      <x:c r="D9" s="6" t="str">
        <x:v>Sacré</x:v>
      </x:c>
      <x:c r="E9" s="6" t="str">
        <x:v>Commune</x:v>
      </x:c>
      <x:c r="F9" s="6" t="str">
        <x:v>C</x:v>
      </x:c>
      <x:c r="G9" s="6" t="str">
        <x:v>Verbe</x:v>
      </x:c>
      <x:c r="H9" s="8" t="n">
        <x:v>4</x:v>
      </x:c>
      <x:c r="I9" s="8" t="str"/>
      <x:c r="J9" s="8" t="str"/>
      <x:c r="K9" s="9" t="str"/>
      <x:c r="L9" s="9" t="str"/>
      <x:c r="M9" s="6" t="str">
        <x:v>Récitation / tempo lent</x:v>
      </x:c>
      <x:c r="N9" s="6" t="str">
        <x:v>Halo simple</x:v>
      </x:c>
      <x:c r="O9" s="6" t="str">
        <x:v>Faible</x:v>
      </x:c>
      <x:c r="P9" s="10" t="str">
        <x:v>À nommer</x:v>
      </x:c>
      <x:c r="Q9" s="10" t="str"/>
      <x:c r="R9" s="10" t="str">
        <x:v>sacred guardian, ivory ceremonial robe, golden halo, thin gold chains, warm ivory palette, calm pose, clean graphic illustration, flat background, generous negative space, full-art trading card composition --sref [SACRED_REFS] --sw 200 --no text, logo, watermark</x:v>
      </x:c>
      <x:c r="S9" s="10" t="str">
        <x:v>À concevoir</x:v>
      </x:c>
      <x:c r="T9" s="10" t="str"/>
    </x:row>
    <x:row r="10" ht="31.5" customHeight="1">
      <x:c r="A10" s="6" t="str">
        <x:v>V09</x:v>
      </x:c>
      <x:c r="B10" s="6" t="str">
        <x:v>Vasar</x:v>
      </x:c>
      <x:c r="C10" s="6" t="str">
        <x:v>Majeure</x:v>
      </x:c>
      <x:c r="D10" s="6" t="str">
        <x:v>Sacré</x:v>
      </x:c>
      <x:c r="E10" s="6" t="str">
        <x:v>Commune</x:v>
      </x:c>
      <x:c r="F10" s="6" t="str">
        <x:v>C</x:v>
      </x:c>
      <x:c r="G10" s="6" t="str">
        <x:v>Être</x:v>
      </x:c>
      <x:c r="H10" s="8" t="n">
        <x:v>2</x:v>
      </x:c>
      <x:c r="I10" s="8" t="n">
        <x:v>2</x:v>
      </x:c>
      <x:c r="J10" s="8" t="n">
        <x:v>2</x:v>
      </x:c>
      <x:c r="K10" s="9" t="str"/>
      <x:c r="L10" s="9" t="str"/>
      <x:c r="M10" s="6" t="str">
        <x:v>Punition Prononcer</x:v>
      </x:c>
      <x:c r="N10" s="6" t="str">
        <x:v>Halo simple</x:v>
      </x:c>
      <x:c r="O10" s="6" t="str">
        <x:v>Faible</x:v>
      </x:c>
      <x:c r="P10" s="10" t="str">
        <x:v>À nommer</x:v>
      </x:c>
      <x:c r="Q10" s="10" t="str"/>
      <x:c r="R10" s="10" t="str">
        <x:v>sacred guardian, ivory ceremonial robe, golden halo, thin gold chains, warm ivory palette, calm pose, clean graphic illustration, flat background, generous negative space, full-art trading card composition --sref [SACRED_REFS] --sw 200 --no text, logo, watermark</x:v>
      </x:c>
      <x:c r="S10" s="10" t="str">
        <x:v>À concevoir</x:v>
      </x:c>
      <x:c r="T10" s="10" t="str"/>
    </x:row>
    <x:row r="11" ht="31.5" customHeight="1">
      <x:c r="A11" s="6" t="str">
        <x:v>V10</x:v>
      </x:c>
      <x:c r="B11" s="6" t="str">
        <x:v>Vasar</x:v>
      </x:c>
      <x:c r="C11" s="6" t="str">
        <x:v>Majeure</x:v>
      </x:c>
      <x:c r="D11" s="6" t="str">
        <x:v>Sacré</x:v>
      </x:c>
      <x:c r="E11" s="6" t="str">
        <x:v>Rare</x:v>
      </x:c>
      <x:c r="F11" s="6" t="str">
        <x:v>R</x:v>
      </x:c>
      <x:c r="G11" s="6" t="str">
        <x:v>Être</x:v>
      </x:c>
      <x:c r="H11" s="8" t="n">
        <x:v>4</x:v>
      </x:c>
      <x:c r="I11" s="8" t="n">
        <x:v>4</x:v>
      </x:c>
      <x:c r="J11" s="8" t="n">
        <x:v>5</x:v>
      </x:c>
      <x:c r="K11" s="9" t="str"/>
      <x:c r="L11" s="9" t="str"/>
      <x:c r="M11" s="6" t="str">
        <x:v>Stabilisation</x:v>
      </x:c>
      <x:c r="N11" s="6" t="str">
        <x:v>Halo + symbole</x:v>
      </x:c>
      <x:c r="O11" s="6" t="str">
        <x:v>Moyenne</x:v>
      </x:c>
      <x:c r="P11" s="10" t="str">
        <x:v>À nommer</x:v>
      </x:c>
      <x:c r="Q11" s="10" t="str"/>
      <x:c r="R11" s="10" t="str">
        <x:v>sacred guardian, ivory ceremonial robe, golden halo, thin gold chains, warm ivory palette, calm pose, clean graphic illustration, flat background, generous negative space, full-art trading card composition --sref [SACRED_REFS] --sw 200 --no text, logo, watermark</x:v>
      </x:c>
      <x:c r="S11" s="10" t="str">
        <x:v>À concevoir</x:v>
      </x:c>
      <x:c r="T11" s="10" t="str"/>
    </x:row>
    <x:row r="12" ht="31.5" customHeight="1">
      <x:c r="A12" s="6" t="str">
        <x:v>V11</x:v>
      </x:c>
      <x:c r="B12" s="6" t="str">
        <x:v>Vasar</x:v>
      </x:c>
      <x:c r="C12" s="6" t="str">
        <x:v>Majeure</x:v>
      </x:c>
      <x:c r="D12" s="6" t="str">
        <x:v>Sacré</x:v>
      </x:c>
      <x:c r="E12" s="6" t="str">
        <x:v>Rare</x:v>
      </x:c>
      <x:c r="F12" s="6" t="str">
        <x:v>R</x:v>
      </x:c>
      <x:c r="G12" s="6" t="str">
        <x:v>Être</x:v>
      </x:c>
      <x:c r="H12" s="8" t="n">
        <x:v>5</x:v>
      </x:c>
      <x:c r="I12" s="8" t="n">
        <x:v>5</x:v>
      </x:c>
      <x:c r="J12" s="8" t="n">
        <x:v>6</x:v>
      </x:c>
      <x:c r="K12" s="9" t="str"/>
      <x:c r="L12" s="9" t="str"/>
      <x:c r="M12" s="6" t="str">
        <x:v>Serment / protection</x:v>
      </x:c>
      <x:c r="N12" s="6" t="str">
        <x:v>Halo + symbole</x:v>
      </x:c>
      <x:c r="O12" s="6" t="str">
        <x:v>Moyenne</x:v>
      </x:c>
      <x:c r="P12" s="10" t="str">
        <x:v>À nommer</x:v>
      </x:c>
      <x:c r="Q12" s="10" t="str"/>
      <x:c r="R12" s="10" t="str">
        <x:v>sacred guardian, ivory ceremonial robe, golden halo, thin gold chains, warm ivory palette, calm pose, clean graphic illustration, flat background, generous negative space, full-art trading card composition --sref [SACRED_REFS] --sw 200 --no text, logo, watermark</x:v>
      </x:c>
      <x:c r="S12" s="10" t="str">
        <x:v>À concevoir</x:v>
      </x:c>
      <x:c r="T12" s="10" t="str"/>
    </x:row>
    <x:row r="13" ht="31.5" customHeight="1">
      <x:c r="A13" s="6" t="str">
        <x:v>V12</x:v>
      </x:c>
      <x:c r="B13" s="6" t="str">
        <x:v>Vasar</x:v>
      </x:c>
      <x:c r="C13" s="6" t="str">
        <x:v>Majeure</x:v>
      </x:c>
      <x:c r="D13" s="6" t="str">
        <x:v>Sacré</x:v>
      </x:c>
      <x:c r="E13" s="6" t="str">
        <x:v>Rare</x:v>
      </x:c>
      <x:c r="F13" s="6" t="str">
        <x:v>R</x:v>
      </x:c>
      <x:c r="G13" s="6" t="str">
        <x:v>Verbe</x:v>
      </x:c>
      <x:c r="H13" s="8" t="n">
        <x:v>3</x:v>
      </x:c>
      <x:c r="I13" s="8" t="str"/>
      <x:c r="J13" s="8" t="str"/>
      <x:c r="K13" s="9" t="str"/>
      <x:c r="L13" s="9" t="str"/>
      <x:c r="M13" s="6" t="str">
        <x:v>Buff de masse</x:v>
      </x:c>
      <x:c r="N13" s="6" t="str">
        <x:v>Halo + symbole</x:v>
      </x:c>
      <x:c r="O13" s="6" t="str">
        <x:v>Moyenne</x:v>
      </x:c>
      <x:c r="P13" s="10" t="str">
        <x:v>À nommer</x:v>
      </x:c>
      <x:c r="Q13" s="10" t="str"/>
      <x:c r="R13" s="10" t="str">
        <x:v>sacred guardian, ivory ceremonial robe, golden halo, thin gold chains, warm ivory palette, calm pose, clean graphic illustration, flat background, generous negative space, full-art trading card composition --sref [SACRED_REFS] --sw 200 --no text, logo, watermark</x:v>
      </x:c>
      <x:c r="S13" s="10" t="str">
        <x:v>À concevoir</x:v>
      </x:c>
      <x:c r="T13" s="10" t="str"/>
    </x:row>
    <x:row r="14" ht="31.5" customHeight="1">
      <x:c r="A14" s="6" t="str">
        <x:v>V13</x:v>
      </x:c>
      <x:c r="B14" s="6" t="str">
        <x:v>Vasar</x:v>
      </x:c>
      <x:c r="C14" s="6" t="str">
        <x:v>Majeure</x:v>
      </x:c>
      <x:c r="D14" s="6" t="str">
        <x:v>Sacré</x:v>
      </x:c>
      <x:c r="E14" s="6" t="str">
        <x:v>Rare</x:v>
      </x:c>
      <x:c r="F14" s="6" t="str">
        <x:v>R</x:v>
      </x:c>
      <x:c r="G14" s="6" t="str">
        <x:v>Être</x:v>
      </x:c>
      <x:c r="H14" s="8" t="n">
        <x:v>4</x:v>
      </x:c>
      <x:c r="I14" s="8" t="n">
        <x:v>4</x:v>
      </x:c>
      <x:c r="J14" s="8" t="n">
        <x:v>5</x:v>
      </x:c>
      <x:c r="K14" s="9" t="str"/>
      <x:c r="L14" s="9" t="str"/>
      <x:c r="M14" s="6" t="str">
        <x:v>Récitation / tempo lent</x:v>
      </x:c>
      <x:c r="N14" s="6" t="str">
        <x:v>Halo + symbole</x:v>
      </x:c>
      <x:c r="O14" s="6" t="str">
        <x:v>Moyenne</x:v>
      </x:c>
      <x:c r="P14" s="10" t="str">
        <x:v>À nommer</x:v>
      </x:c>
      <x:c r="Q14" s="10" t="str"/>
      <x:c r="R14" s="10" t="str">
        <x:v>sacred guardian, ivory ceremonial robe, golden halo, thin gold chains, warm ivory palette, calm pose, clean graphic illustration, flat background, generous negative space, full-art trading card composition --sref [SACRED_REFS] --sw 200 --no text, logo, watermark</x:v>
      </x:c>
      <x:c r="S14" s="10" t="str">
        <x:v>À concevoir</x:v>
      </x:c>
      <x:c r="T14" s="10" t="str"/>
    </x:row>
    <x:row r="15" ht="31.5" customHeight="1">
      <x:c r="A15" s="6" t="str">
        <x:v>V14</x:v>
      </x:c>
      <x:c r="B15" s="6" t="str">
        <x:v>Vasar</x:v>
      </x:c>
      <x:c r="C15" s="6" t="str">
        <x:v>Majeure</x:v>
      </x:c>
      <x:c r="D15" s="6" t="str">
        <x:v>Sacré</x:v>
      </x:c>
      <x:c r="E15" s="6" t="str">
        <x:v>Rare</x:v>
      </x:c>
      <x:c r="F15" s="6" t="str">
        <x:v>R</x:v>
      </x:c>
      <x:c r="G15" s="6" t="str">
        <x:v>Être</x:v>
      </x:c>
      <x:c r="H15" s="8" t="n">
        <x:v>5</x:v>
      </x:c>
      <x:c r="I15" s="8" t="n">
        <x:v>5</x:v>
      </x:c>
      <x:c r="J15" s="8" t="n">
        <x:v>6</x:v>
      </x:c>
      <x:c r="K15" s="9" t="str"/>
      <x:c r="L15" s="9" t="str"/>
      <x:c r="M15" s="6" t="str">
        <x:v>Punition Prononcer</x:v>
      </x:c>
      <x:c r="N15" s="6" t="str">
        <x:v>Halo + symbole</x:v>
      </x:c>
      <x:c r="O15" s="6" t="str">
        <x:v>Moyenne</x:v>
      </x:c>
      <x:c r="P15" s="10" t="str">
        <x:v>À nommer</x:v>
      </x:c>
      <x:c r="Q15" s="10" t="str"/>
      <x:c r="R15" s="10" t="str">
        <x:v>sacred guardian, ivory ceremonial robe, golden halo, thin gold chains, warm ivory palette, calm pose, clean graphic illustration, flat background, generous negative space, full-art trading card composition --sref [SACRED_REFS] --sw 200 --no text, logo, watermark</x:v>
      </x:c>
      <x:c r="S15" s="10" t="str">
        <x:v>À concevoir</x:v>
      </x:c>
      <x:c r="T15" s="10" t="str"/>
    </x:row>
    <x:row r="16" ht="31.5" customHeight="1">
      <x:c r="A16" s="6" t="str">
        <x:v>V15</x:v>
      </x:c>
      <x:c r="B16" s="6" t="str">
        <x:v>Vasar</x:v>
      </x:c>
      <x:c r="C16" s="6" t="str">
        <x:v>Majeure</x:v>
      </x:c>
      <x:c r="D16" s="6" t="str">
        <x:v>Sacré</x:v>
      </x:c>
      <x:c r="E16" s="6" t="str">
        <x:v>Rare</x:v>
      </x:c>
      <x:c r="F16" s="6" t="str">
        <x:v>R</x:v>
      </x:c>
      <x:c r="G16" s="6" t="str">
        <x:v>Être</x:v>
      </x:c>
      <x:c r="H16" s="8" t="n">
        <x:v>3</x:v>
      </x:c>
      <x:c r="I16" s="8" t="n">
        <x:v>3</x:v>
      </x:c>
      <x:c r="J16" s="8" t="n">
        <x:v>4</x:v>
      </x:c>
      <x:c r="K16" s="9" t="str"/>
      <x:c r="L16" s="9" t="str"/>
      <x:c r="M16" s="6" t="str">
        <x:v>Stabilisation</x:v>
      </x:c>
      <x:c r="N16" s="6" t="str">
        <x:v>Halo + symbole</x:v>
      </x:c>
      <x:c r="O16" s="6" t="str">
        <x:v>Moyenne</x:v>
      </x:c>
      <x:c r="P16" s="10" t="str">
        <x:v>À nommer</x:v>
      </x:c>
      <x:c r="Q16" s="10" t="str"/>
      <x:c r="R16" s="10" t="str">
        <x:v>sacred guardian, ivory ceremonial robe, golden halo, thin gold chains, warm ivory palette, calm pose, clean graphic illustration, flat background, generous negative space, full-art trading card composition --sref [SACRED_REFS] --sw 200 --no text, logo, watermark</x:v>
      </x:c>
      <x:c r="S16" s="10" t="str">
        <x:v>À concevoir</x:v>
      </x:c>
      <x:c r="T16" s="10" t="str"/>
    </x:row>
    <x:row r="17" ht="31.5" customHeight="1">
      <x:c r="A17" s="6" t="str">
        <x:v>V16</x:v>
      </x:c>
      <x:c r="B17" s="6" t="str">
        <x:v>Vasar</x:v>
      </x:c>
      <x:c r="C17" s="6" t="str">
        <x:v>Majeure</x:v>
      </x:c>
      <x:c r="D17" s="6" t="str">
        <x:v>Sacré</x:v>
      </x:c>
      <x:c r="E17" s="6" t="str">
        <x:v>Épique</x:v>
      </x:c>
      <x:c r="F17" s="6" t="str">
        <x:v>E</x:v>
      </x:c>
      <x:c r="G17" s="6" t="str">
        <x:v>Verbe</x:v>
      </x:c>
      <x:c r="H17" s="8" t="n">
        <x:v>2</x:v>
      </x:c>
      <x:c r="I17" s="8" t="str"/>
      <x:c r="J17" s="8" t="str"/>
      <x:c r="K17" s="9" t="str"/>
      <x:c r="L17" s="9" t="str"/>
      <x:c r="M17" s="6" t="str">
        <x:v>Serment / protection</x:v>
      </x:c>
      <x:c r="N17" s="6" t="str">
        <x:v>Halo complexe</x:v>
      </x:c>
      <x:c r="O17" s="6" t="str">
        <x:v>Forte</x:v>
      </x:c>
      <x:c r="P17" s="10" t="str">
        <x:v>À nommer</x:v>
      </x:c>
      <x:c r="Q17" s="10" t="str"/>
      <x:c r="R17" s="10" t="str">
        <x:v>sacred guardian, ivory ceremonial robe, golden halo, thin gold chains, warm ivory palette, calm pose, clean graphic illustration, flat background, generous negative space, full-art trading card composition --sref [SACRED_REFS] --sw 200 --no text, logo, watermark</x:v>
      </x:c>
      <x:c r="S17" s="10" t="str">
        <x:v>À concevoir</x:v>
      </x:c>
      <x:c r="T17" s="10" t="str"/>
    </x:row>
    <x:row r="18" ht="31.5" customHeight="1">
      <x:c r="A18" s="6" t="str">
        <x:v>V17</x:v>
      </x:c>
      <x:c r="B18" s="6" t="str">
        <x:v>Vasar</x:v>
      </x:c>
      <x:c r="C18" s="6" t="str">
        <x:v>Majeure</x:v>
      </x:c>
      <x:c r="D18" s="6" t="str">
        <x:v>Sacré</x:v>
      </x:c>
      <x:c r="E18" s="6" t="str">
        <x:v>Épique</x:v>
      </x:c>
      <x:c r="F18" s="6" t="str">
        <x:v>E</x:v>
      </x:c>
      <x:c r="G18" s="6" t="str">
        <x:v>Être</x:v>
      </x:c>
      <x:c r="H18" s="8" t="n">
        <x:v>6</x:v>
      </x:c>
      <x:c r="I18" s="8" t="n">
        <x:v>6</x:v>
      </x:c>
      <x:c r="J18" s="8" t="n">
        <x:v>7</x:v>
      </x:c>
      <x:c r="K18" s="9" t="str"/>
      <x:c r="L18" s="9" t="str"/>
      <x:c r="M18" s="6" t="str">
        <x:v>Buff de masse</x:v>
      </x:c>
      <x:c r="N18" s="6" t="str">
        <x:v>Halo complexe</x:v>
      </x:c>
      <x:c r="O18" s="6" t="str">
        <x:v>Forte</x:v>
      </x:c>
      <x:c r="P18" s="10" t="str">
        <x:v>À nommer</x:v>
      </x:c>
      <x:c r="Q18" s="10" t="str"/>
      <x:c r="R18" s="10" t="str">
        <x:v>sacred guardian, ivory ceremonial robe, golden halo, thin gold chains, warm ivory palette, calm pose, clean graphic illustration, flat background, generous negative space, full-art trading card composition --sref [SACRED_REFS] --sw 200 --no text, logo, watermark</x:v>
      </x:c>
      <x:c r="S18" s="10" t="str">
        <x:v>À concevoir</x:v>
      </x:c>
      <x:c r="T18" s="10" t="str"/>
    </x:row>
    <x:row r="19" ht="31.5" customHeight="1">
      <x:c r="A19" s="6" t="str">
        <x:v>V18</x:v>
      </x:c>
      <x:c r="B19" s="6" t="str">
        <x:v>Vasar</x:v>
      </x:c>
      <x:c r="C19" s="6" t="str">
        <x:v>Majeure</x:v>
      </x:c>
      <x:c r="D19" s="6" t="str">
        <x:v>Sacré</x:v>
      </x:c>
      <x:c r="E19" s="6" t="str">
        <x:v>Épique</x:v>
      </x:c>
      <x:c r="F19" s="6" t="str">
        <x:v>E</x:v>
      </x:c>
      <x:c r="G19" s="6" t="str">
        <x:v>Être</x:v>
      </x:c>
      <x:c r="H19" s="8" t="n">
        <x:v>4</x:v>
      </x:c>
      <x:c r="I19" s="8" t="n">
        <x:v>4</x:v>
      </x:c>
      <x:c r="J19" s="8" t="n">
        <x:v>5</x:v>
      </x:c>
      <x:c r="K19" s="9" t="str"/>
      <x:c r="L19" s="9" t="str"/>
      <x:c r="M19" s="6" t="str">
        <x:v>Récitation / tempo lent</x:v>
      </x:c>
      <x:c r="N19" s="6" t="str">
        <x:v>Halo complexe</x:v>
      </x:c>
      <x:c r="O19" s="6" t="str">
        <x:v>Forte</x:v>
      </x:c>
      <x:c r="P19" s="10" t="str">
        <x:v>À nommer</x:v>
      </x:c>
      <x:c r="Q19" s="10" t="str"/>
      <x:c r="R19" s="10" t="str">
        <x:v>sacred guardian, ivory ceremonial robe, golden halo, thin gold chains, warm ivory palette, calm pose, clean graphic illustration, flat background, generous negative space, full-art trading card composition --sref [SACRED_REFS] --sw 200 --no text, logo, watermark</x:v>
      </x:c>
      <x:c r="S19" s="10" t="str">
        <x:v>À concevoir</x:v>
      </x:c>
      <x:c r="T19" s="10" t="str"/>
    </x:row>
    <x:row r="20" ht="31.5" customHeight="1">
      <x:c r="A20" s="6" t="str">
        <x:v>V19</x:v>
      </x:c>
      <x:c r="B20" s="6" t="str">
        <x:v>Vasar</x:v>
      </x:c>
      <x:c r="C20" s="6" t="str">
        <x:v>Majeure</x:v>
      </x:c>
      <x:c r="D20" s="6" t="str">
        <x:v>Sacré</x:v>
      </x:c>
      <x:c r="E20" s="6" t="str">
        <x:v>Épique</x:v>
      </x:c>
      <x:c r="F20" s="6" t="str">
        <x:v>E</x:v>
      </x:c>
      <x:c r="G20" s="6" t="str">
        <x:v>Être</x:v>
      </x:c>
      <x:c r="H20" s="8" t="n">
        <x:v>5</x:v>
      </x:c>
      <x:c r="I20" s="8" t="n">
        <x:v>5</x:v>
      </x:c>
      <x:c r="J20" s="8" t="n">
        <x:v>6</x:v>
      </x:c>
      <x:c r="K20" s="9" t="str"/>
      <x:c r="L20" s="9" t="str"/>
      <x:c r="M20" s="6" t="str">
        <x:v>Punition Prononcer</x:v>
      </x:c>
      <x:c r="N20" s="6" t="str">
        <x:v>Halo complexe</x:v>
      </x:c>
      <x:c r="O20" s="6" t="str">
        <x:v>Forte</x:v>
      </x:c>
      <x:c r="P20" s="10" t="str">
        <x:v>À nommer</x:v>
      </x:c>
      <x:c r="Q20" s="10" t="str"/>
      <x:c r="R20" s="10" t="str">
        <x:v>sacred guardian, ivory ceremonial robe, golden halo, thin gold chains, warm ivory palette, calm pose, clean graphic illustration, flat background, generous negative space, full-art trading card composition --sref [SACRED_REFS] --sw 200 --no text, logo, watermark</x:v>
      </x:c>
      <x:c r="S20" s="10" t="str">
        <x:v>À concevoir</x:v>
      </x:c>
      <x:c r="T20" s="10" t="str"/>
    </x:row>
    <x:row r="21" ht="31.5" customHeight="1">
      <x:c r="A21" s="6" t="str">
        <x:v>V20</x:v>
      </x:c>
      <x:c r="B21" s="6" t="str">
        <x:v>Vasar</x:v>
      </x:c>
      <x:c r="C21" s="6" t="str">
        <x:v>Majeure</x:v>
      </x:c>
      <x:c r="D21" s="6" t="str">
        <x:v>Sacré</x:v>
      </x:c>
      <x:c r="E21" s="6" t="str">
        <x:v>Légendaire</x:v>
      </x:c>
      <x:c r="F21" s="6" t="str">
        <x:v>L</x:v>
      </x:c>
      <x:c r="G21" s="6" t="str">
        <x:v>Être</x:v>
      </x:c>
      <x:c r="H21" s="8" t="n">
        <x:v>7</x:v>
      </x:c>
      <x:c r="I21" s="8" t="n">
        <x:v>8</x:v>
      </x:c>
      <x:c r="J21" s="8" t="n">
        <x:v>8</x:v>
      </x:c>
      <x:c r="K21" s="9" t="str"/>
      <x:c r="L21" s="9" t="str"/>
      <x:c r="M21" s="6" t="str">
        <x:v>Stabilisation</x:v>
      </x:c>
      <x:c r="N21" s="6" t="str">
        <x:v>Halo mythique</x:v>
      </x:c>
      <x:c r="O21" s="6" t="str">
        <x:v>Très forte</x:v>
      </x:c>
      <x:c r="P21" s="10" t="str">
        <x:v>À nommer</x:v>
      </x:c>
      <x:c r="Q21" s="10" t="str"/>
      <x:c r="R21" s="10" t="str">
        <x:v>sacred guardian, ivory ceremonial robe, golden halo, thin gold chains, warm ivory palette, calm pose, clean graphic illustration, flat background, generous negative space, full-art trading card composition --sref [SACRED_REFS] --sw 200 --no text, logo, watermark</x:v>
      </x:c>
      <x:c r="S21" s="10" t="str">
        <x:v>À concevoir</x:v>
      </x:c>
      <x:c r="T21" s="10" t="str"/>
    </x:row>
    <x:row r="22" ht="31.5" customHeight="1">
      <x:c r="A22" s="6" t="str">
        <x:v>V21</x:v>
      </x:c>
      <x:c r="B22" s="6" t="str">
        <x:v>Vasar</x:v>
      </x:c>
      <x:c r="C22" s="6" t="str">
        <x:v>Majeure</x:v>
      </x:c>
      <x:c r="D22" s="6" t="str">
        <x:v>Sacré</x:v>
      </x:c>
      <x:c r="E22" s="6" t="str">
        <x:v>Légendaire</x:v>
      </x:c>
      <x:c r="F22" s="6" t="str">
        <x:v>L</x:v>
      </x:c>
      <x:c r="G22" s="6" t="str">
        <x:v>Être</x:v>
      </x:c>
      <x:c r="H22" s="8" t="n">
        <x:v>5</x:v>
      </x:c>
      <x:c r="I22" s="8" t="n">
        <x:v>6</x:v>
      </x:c>
      <x:c r="J22" s="8" t="n">
        <x:v>6</x:v>
      </x:c>
      <x:c r="K22" s="9" t="str"/>
      <x:c r="L22" s="9" t="str"/>
      <x:c r="M22" s="6" t="str">
        <x:v>Serment / protection</x:v>
      </x:c>
      <x:c r="N22" s="6" t="str">
        <x:v>Halo mythique</x:v>
      </x:c>
      <x:c r="O22" s="6" t="str">
        <x:v>Très forte</x:v>
      </x:c>
      <x:c r="P22" s="10" t="str">
        <x:v>À nommer</x:v>
      </x:c>
      <x:c r="Q22" s="10" t="str"/>
      <x:c r="R22" s="10" t="str">
        <x:v>sacred guardian, ivory ceremonial robe, golden halo, thin gold chains, warm ivory palette, calm pose, clean graphic illustration, flat background, generous negative space, full-art trading card composition --sref [SACRED_REFS] --sw 200 --no text, logo, watermark</x:v>
      </x:c>
      <x:c r="S22" s="10" t="str">
        <x:v>À concevoir</x:v>
      </x:c>
      <x:c r="T22" s="10" t="str"/>
    </x:row>
    <x:row r="23" ht="31.5" customHeight="1">
      <x:c r="A23" s="6" t="str">
        <x:v>V22</x:v>
      </x:c>
      <x:c r="B23" s="6" t="str">
        <x:v>Vasar</x:v>
      </x:c>
      <x:c r="C23" s="6" t="str">
        <x:v>Majeure</x:v>
      </x:c>
      <x:c r="D23" s="6" t="str">
        <x:v>Sacré</x:v>
      </x:c>
      <x:c r="E23" s="6" t="str">
        <x:v>Prismatique</x:v>
      </x:c>
      <x:c r="F23" s="6" t="str">
        <x:v>P</x:v>
      </x:c>
      <x:c r="G23" s="6" t="str">
        <x:v>Être</x:v>
      </x:c>
      <x:c r="H23" s="8" t="n">
        <x:v>8</x:v>
      </x:c>
      <x:c r="I23" s="8" t="n">
        <x:v>9</x:v>
      </x:c>
      <x:c r="J23" s="8" t="n">
        <x:v>9</x:v>
      </x:c>
      <x:c r="K23" s="9" t="str"/>
      <x:c r="L23" s="9" t="str"/>
      <x:c r="M23" s="6" t="str">
        <x:v>Buff de masse</x:v>
      </x:c>
      <x:c r="N23" s="6" t="str">
        <x:v>Halo ultime / éclipse</x:v>
      </x:c>
      <x:c r="O23" s="6" t="str">
        <x:v>Ultime</x:v>
      </x:c>
      <x:c r="P23" s="10" t="str">
        <x:v>À nommer</x:v>
      </x:c>
      <x:c r="Q23" s="10" t="str"/>
      <x:c r="R23" s="10" t="str">
        <x:v>iconic sacred guardian, ivory ceremonial robe, golden halo, thin gold chains, warm ivory palette, symmetrical frontal pose, massive eclipse halo, floating gold fragments, ornate sacred geometry, radiant prism light accents, mythic stillness, high ornament density, clean graphic illustration, flat background, premium collector trading card art --sref [SACRED_REFS] --sw 200 --no text, logo, watermark</x:v>
      </x:c>
      <x:c r="S23" s="10" t="str">
        <x:v>À concevoir</x:v>
      </x:c>
      <x:c r="T23" s="10" t="str"/>
    </x:row>
    <x:row r="24" ht="31.5" customHeight="1">
      <x:c r="A24" s="6" t="str">
        <x:v>X01</x:v>
      </x:c>
      <x:c r="B24" s="6" t="str">
        <x:v>Exar</x:v>
      </x:c>
      <x:c r="C24" s="6" t="str">
        <x:v>Majeure</x:v>
      </x:c>
      <x:c r="D24" s="6" t="str">
        <x:v>Menace</x:v>
      </x:c>
      <x:c r="E24" s="6" t="str">
        <x:v>Commune</x:v>
      </x:c>
      <x:c r="F24" s="6" t="str">
        <x:v>C</x:v>
      </x:c>
      <x:c r="G24" s="6" t="str">
        <x:v>Être</x:v>
      </x:c>
      <x:c r="H24" s="8" t="n">
        <x:v>3</x:v>
      </x:c>
      <x:c r="I24" s="8" t="n">
        <x:v>3</x:v>
      </x:c>
      <x:c r="J24" s="8" t="n">
        <x:v>3</x:v>
      </x:c>
      <x:c r="K24" s="9" t="str"/>
      <x:c r="L24" s="9" t="str"/>
      <x:c r="M24" s="6" t="str">
        <x:v>Rupture / sacrifice</x:v>
      </x:c>
      <x:c r="N24" s="6" t="str">
        <x:v>Halo simple</x:v>
      </x:c>
      <x:c r="O24" s="6" t="str">
        <x:v>Faible</x:v>
      </x:c>
      <x:c r="P24" s="10" t="str">
        <x:v>À nommer</x:v>
      </x:c>
      <x:c r="Q24" s="10" t="str"/>
      <x:c r="R24" s="10" t="str">
        <x:v>fallen war-priest, cracked halo, bone crown, black ritual marks, deep crimson palette, calm pose, clean graphic illustration, flat background, generous negative space, full-art trading card composition --sref [MENACE_REFS] --sw 200 --no text, logo, watermark</x:v>
      </x:c>
      <x:c r="S24" s="10" t="str">
        <x:v>À concevoir</x:v>
      </x:c>
      <x:c r="T24" s="10" t="str"/>
    </x:row>
    <x:row r="25" ht="31.5" customHeight="1">
      <x:c r="A25" s="6" t="str">
        <x:v>X02</x:v>
      </x:c>
      <x:c r="B25" s="6" t="str">
        <x:v>Exar</x:v>
      </x:c>
      <x:c r="C25" s="6" t="str">
        <x:v>Majeure</x:v>
      </x:c>
      <x:c r="D25" s="6" t="str">
        <x:v>Menace</x:v>
      </x:c>
      <x:c r="E25" s="6" t="str">
        <x:v>Commune</x:v>
      </x:c>
      <x:c r="F25" s="6" t="str">
        <x:v>C</x:v>
      </x:c>
      <x:c r="G25" s="6" t="str">
        <x:v>Être</x:v>
      </x:c>
      <x:c r="H25" s="8" t="n">
        <x:v>4</x:v>
      </x:c>
      <x:c r="I25" s="8" t="n">
        <x:v>4</x:v>
      </x:c>
      <x:c r="J25" s="8" t="n">
        <x:v>4</x:v>
      </x:c>
      <x:c r="K25" s="9" t="str"/>
      <x:c r="L25" s="9" t="str"/>
      <x:c r="M25" s="6" t="str">
        <x:v>Destruction ciblée</x:v>
      </x:c>
      <x:c r="N25" s="6" t="str">
        <x:v>Halo simple</x:v>
      </x:c>
      <x:c r="O25" s="6" t="str">
        <x:v>Faible</x:v>
      </x:c>
      <x:c r="P25" s="10" t="str">
        <x:v>À nommer</x:v>
      </x:c>
      <x:c r="Q25" s="10" t="str"/>
      <x:c r="R25" s="10" t="str">
        <x:v>fallen war-priest, cracked halo, bone crown, black ritual marks, deep crimson palette, calm pose, clean graphic illustration, flat background, generous negative space, full-art trading card composition --sref [MENACE_REFS] --sw 200 --no text, logo, watermark</x:v>
      </x:c>
      <x:c r="S25" s="10" t="str">
        <x:v>À concevoir</x:v>
      </x:c>
      <x:c r="T25" s="10" t="str"/>
    </x:row>
    <x:row r="26" ht="31.5" customHeight="1">
      <x:c r="A26" s="6" t="str">
        <x:v>X03</x:v>
      </x:c>
      <x:c r="B26" s="6" t="str">
        <x:v>Exar</x:v>
      </x:c>
      <x:c r="C26" s="6" t="str">
        <x:v>Majeure</x:v>
      </x:c>
      <x:c r="D26" s="6" t="str">
        <x:v>Menace</x:v>
      </x:c>
      <x:c r="E26" s="6" t="str">
        <x:v>Commune</x:v>
      </x:c>
      <x:c r="F26" s="6" t="str">
        <x:v>C</x:v>
      </x:c>
      <x:c r="G26" s="6" t="str">
        <x:v>Être</x:v>
      </x:c>
      <x:c r="H26" s="8" t="n">
        <x:v>2</x:v>
      </x:c>
      <x:c r="I26" s="8" t="n">
        <x:v>2</x:v>
      </x:c>
      <x:c r="J26" s="8" t="n">
        <x:v>2</x:v>
      </x:c>
      <x:c r="K26" s="9" t="str"/>
      <x:c r="L26" s="9" t="str"/>
      <x:c r="M26" s="6" t="str">
        <x:v>Prononcer fort</x:v>
      </x:c>
      <x:c r="N26" s="6" t="str">
        <x:v>Halo simple</x:v>
      </x:c>
      <x:c r="O26" s="6" t="str">
        <x:v>Faible</x:v>
      </x:c>
      <x:c r="P26" s="10" t="str">
        <x:v>À nommer</x:v>
      </x:c>
      <x:c r="Q26" s="10" t="str"/>
      <x:c r="R26" s="10" t="str">
        <x:v>fallen war-priest, cracked halo, bone crown, black ritual marks, deep crimson palette, calm pose, clean graphic illustration, flat background, generous negative space, full-art trading card composition --sref [MENACE_REFS] --sw 200 --no text, logo, watermark</x:v>
      </x:c>
      <x:c r="S26" s="10" t="str">
        <x:v>À concevoir</x:v>
      </x:c>
      <x:c r="T26" s="10" t="str"/>
    </x:row>
    <x:row r="27" ht="31.5" customHeight="1">
      <x:c r="A27" s="6" t="str">
        <x:v>X04</x:v>
      </x:c>
      <x:c r="B27" s="6" t="str">
        <x:v>Exar</x:v>
      </x:c>
      <x:c r="C27" s="6" t="str">
        <x:v>Majeure</x:v>
      </x:c>
      <x:c r="D27" s="6" t="str">
        <x:v>Menace</x:v>
      </x:c>
      <x:c r="E27" s="6" t="str">
        <x:v>Commune</x:v>
      </x:c>
      <x:c r="F27" s="6" t="str">
        <x:v>C</x:v>
      </x:c>
      <x:c r="G27" s="6" t="str">
        <x:v>Verbe</x:v>
      </x:c>
      <x:c r="H27" s="8" t="n">
        <x:v>5</x:v>
      </x:c>
      <x:c r="I27" s="8" t="str"/>
      <x:c r="J27" s="8" t="str"/>
      <x:c r="K27" s="9" t="str"/>
      <x:c r="L27" s="9" t="str"/>
      <x:c r="M27" s="6" t="str">
        <x:v>Auto-dégâts</x:v>
      </x:c>
      <x:c r="N27" s="6" t="str">
        <x:v>Halo simple</x:v>
      </x:c>
      <x:c r="O27" s="6" t="str">
        <x:v>Faible</x:v>
      </x:c>
      <x:c r="P27" s="10" t="str">
        <x:v>À nommer</x:v>
      </x:c>
      <x:c r="Q27" s="10" t="str"/>
      <x:c r="R27" s="10" t="str">
        <x:v>fallen war-priest, cracked halo, bone crown, black ritual marks, deep crimson palette, calm pose, clean graphic illustration, flat background, generous negative space, full-art trading card composition --sref [MENACE_REFS] --sw 200 --no text, logo, watermark</x:v>
      </x:c>
      <x:c r="S27" s="10" t="str">
        <x:v>À concevoir</x:v>
      </x:c>
      <x:c r="T27" s="10" t="str"/>
    </x:row>
    <x:row r="28" ht="31.5" customHeight="1">
      <x:c r="A28" s="6" t="str">
        <x:v>X05</x:v>
      </x:c>
      <x:c r="B28" s="6" t="str">
        <x:v>Exar</x:v>
      </x:c>
      <x:c r="C28" s="6" t="str">
        <x:v>Majeure</x:v>
      </x:c>
      <x:c r="D28" s="6" t="str">
        <x:v>Menace</x:v>
      </x:c>
      <x:c r="E28" s="6" t="str">
        <x:v>Commune</x:v>
      </x:c>
      <x:c r="F28" s="6" t="str">
        <x:v>C</x:v>
      </x:c>
      <x:c r="G28" s="6" t="str">
        <x:v>Être</x:v>
      </x:c>
      <x:c r="H28" s="8" t="n">
        <x:v>4</x:v>
      </x:c>
      <x:c r="I28" s="8" t="n">
        <x:v>4</x:v>
      </x:c>
      <x:c r="J28" s="8" t="n">
        <x:v>4</x:v>
      </x:c>
      <x:c r="K28" s="9" t="str"/>
      <x:c r="L28" s="9" t="str"/>
      <x:c r="M28" s="6" t="str">
        <x:v>Finisher</x:v>
      </x:c>
      <x:c r="N28" s="6" t="str">
        <x:v>Halo simple</x:v>
      </x:c>
      <x:c r="O28" s="6" t="str">
        <x:v>Faible</x:v>
      </x:c>
      <x:c r="P28" s="10" t="str">
        <x:v>À nommer</x:v>
      </x:c>
      <x:c r="Q28" s="10" t="str"/>
      <x:c r="R28" s="10" t="str">
        <x:v>fallen war-priest, cracked halo, bone crown, black ritual marks, deep crimson palette, calm pose, clean graphic illustration, flat background, generous negative space, full-art trading card composition --sref [MENACE_REFS] --sw 200 --no text, logo, watermark</x:v>
      </x:c>
      <x:c r="S28" s="10" t="str">
        <x:v>À concevoir</x:v>
      </x:c>
      <x:c r="T28" s="10" t="str"/>
    </x:row>
    <x:row r="29" ht="31.5" customHeight="1">
      <x:c r="A29" s="6" t="str">
        <x:v>X06</x:v>
      </x:c>
      <x:c r="B29" s="6" t="str">
        <x:v>Exar</x:v>
      </x:c>
      <x:c r="C29" s="6" t="str">
        <x:v>Majeure</x:v>
      </x:c>
      <x:c r="D29" s="6" t="str">
        <x:v>Menace</x:v>
      </x:c>
      <x:c r="E29" s="6" t="str">
        <x:v>Commune</x:v>
      </x:c>
      <x:c r="F29" s="6" t="str">
        <x:v>C</x:v>
      </x:c>
      <x:c r="G29" s="6" t="str">
        <x:v>Être</x:v>
      </x:c>
      <x:c r="H29" s="8" t="n">
        <x:v>2</x:v>
      </x:c>
      <x:c r="I29" s="8" t="n">
        <x:v>2</x:v>
      </x:c>
      <x:c r="J29" s="8" t="n">
        <x:v>2</x:v>
      </x:c>
      <x:c r="K29" s="9" t="str"/>
      <x:c r="L29" s="9" t="str"/>
      <x:c r="M29" s="6" t="str">
        <x:v>Rupture / sacrifice</x:v>
      </x:c>
      <x:c r="N29" s="6" t="str">
        <x:v>Halo simple</x:v>
      </x:c>
      <x:c r="O29" s="6" t="str">
        <x:v>Faible</x:v>
      </x:c>
      <x:c r="P29" s="10" t="str">
        <x:v>À nommer</x:v>
      </x:c>
      <x:c r="Q29" s="10" t="str"/>
      <x:c r="R29" s="10" t="str">
        <x:v>fallen war-priest, cracked halo, bone crown, black ritual marks, deep crimson palette, calm pose, clean graphic illustration, flat background, generous negative space, full-art trading card composition --sref [MENACE_REFS] --sw 200 --no text, logo, watermark</x:v>
      </x:c>
      <x:c r="S29" s="10" t="str">
        <x:v>À concevoir</x:v>
      </x:c>
      <x:c r="T29" s="10" t="str"/>
    </x:row>
    <x:row r="30" ht="31.5" customHeight="1">
      <x:c r="A30" s="6" t="str">
        <x:v>X07</x:v>
      </x:c>
      <x:c r="B30" s="6" t="str">
        <x:v>Exar</x:v>
      </x:c>
      <x:c r="C30" s="6" t="str">
        <x:v>Majeure</x:v>
      </x:c>
      <x:c r="D30" s="6" t="str">
        <x:v>Menace</x:v>
      </x:c>
      <x:c r="E30" s="6" t="str">
        <x:v>Commune</x:v>
      </x:c>
      <x:c r="F30" s="6" t="str">
        <x:v>C</x:v>
      </x:c>
      <x:c r="G30" s="6" t="str">
        <x:v>Être</x:v>
      </x:c>
      <x:c r="H30" s="8" t="n">
        <x:v>3</x:v>
      </x:c>
      <x:c r="I30" s="8" t="n">
        <x:v>3</x:v>
      </x:c>
      <x:c r="J30" s="8" t="n">
        <x:v>3</x:v>
      </x:c>
      <x:c r="K30" s="9" t="str"/>
      <x:c r="L30" s="9" t="str"/>
      <x:c r="M30" s="6" t="str">
        <x:v>Destruction ciblée</x:v>
      </x:c>
      <x:c r="N30" s="6" t="str">
        <x:v>Halo simple</x:v>
      </x:c>
      <x:c r="O30" s="6" t="str">
        <x:v>Faible</x:v>
      </x:c>
      <x:c r="P30" s="10" t="str">
        <x:v>À nommer</x:v>
      </x:c>
      <x:c r="Q30" s="10" t="str"/>
      <x:c r="R30" s="10" t="str">
        <x:v>fallen war-priest, cracked halo, bone crown, black ritual marks, deep crimson palette, calm pose, clean graphic illustration, flat background, generous negative space, full-art trading card composition --sref [MENACE_REFS] --sw 200 --no text, logo, watermark</x:v>
      </x:c>
      <x:c r="S30" s="10" t="str">
        <x:v>À concevoir</x:v>
      </x:c>
      <x:c r="T30" s="10" t="str"/>
    </x:row>
    <x:row r="31" ht="31.5" customHeight="1">
      <x:c r="A31" s="6" t="str">
        <x:v>X08</x:v>
      </x:c>
      <x:c r="B31" s="6" t="str">
        <x:v>Exar</x:v>
      </x:c>
      <x:c r="C31" s="6" t="str">
        <x:v>Majeure</x:v>
      </x:c>
      <x:c r="D31" s="6" t="str">
        <x:v>Menace</x:v>
      </x:c>
      <x:c r="E31" s="6" t="str">
        <x:v>Commune</x:v>
      </x:c>
      <x:c r="F31" s="6" t="str">
        <x:v>C</x:v>
      </x:c>
      <x:c r="G31" s="6" t="str">
        <x:v>Verbe</x:v>
      </x:c>
      <x:c r="H31" s="8" t="n">
        <x:v>4</x:v>
      </x:c>
      <x:c r="I31" s="8" t="str"/>
      <x:c r="J31" s="8" t="str"/>
      <x:c r="K31" s="9" t="str"/>
      <x:c r="L31" s="9" t="str"/>
      <x:c r="M31" s="6" t="str">
        <x:v>Prononcer fort</x:v>
      </x:c>
      <x:c r="N31" s="6" t="str">
        <x:v>Halo simple</x:v>
      </x:c>
      <x:c r="O31" s="6" t="str">
        <x:v>Faible</x:v>
      </x:c>
      <x:c r="P31" s="10" t="str">
        <x:v>À nommer</x:v>
      </x:c>
      <x:c r="Q31" s="10" t="str"/>
      <x:c r="R31" s="10" t="str">
        <x:v>fallen war-priest, cracked halo, bone crown, black ritual marks, deep crimson palette, calm pose, clean graphic illustration, flat background, generous negative space, full-art trading card composition --sref [MENACE_REFS] --sw 200 --no text, logo, watermark</x:v>
      </x:c>
      <x:c r="S31" s="10" t="str">
        <x:v>À concevoir</x:v>
      </x:c>
      <x:c r="T31" s="10" t="str"/>
    </x:row>
    <x:row r="32" ht="31.5" customHeight="1">
      <x:c r="A32" s="6" t="str">
        <x:v>X09</x:v>
      </x:c>
      <x:c r="B32" s="6" t="str">
        <x:v>Exar</x:v>
      </x:c>
      <x:c r="C32" s="6" t="str">
        <x:v>Majeure</x:v>
      </x:c>
      <x:c r="D32" s="6" t="str">
        <x:v>Menace</x:v>
      </x:c>
      <x:c r="E32" s="6" t="str">
        <x:v>Commune</x:v>
      </x:c>
      <x:c r="F32" s="6" t="str">
        <x:v>C</x:v>
      </x:c>
      <x:c r="G32" s="6" t="str">
        <x:v>Être</x:v>
      </x:c>
      <x:c r="H32" s="8" t="n">
        <x:v>2</x:v>
      </x:c>
      <x:c r="I32" s="8" t="n">
        <x:v>2</x:v>
      </x:c>
      <x:c r="J32" s="8" t="n">
        <x:v>2</x:v>
      </x:c>
      <x:c r="K32" s="9" t="str"/>
      <x:c r="L32" s="9" t="str"/>
      <x:c r="M32" s="6" t="str">
        <x:v>Auto-dégâts</x:v>
      </x:c>
      <x:c r="N32" s="6" t="str">
        <x:v>Halo simple</x:v>
      </x:c>
      <x:c r="O32" s="6" t="str">
        <x:v>Faible</x:v>
      </x:c>
      <x:c r="P32" s="10" t="str">
        <x:v>À nommer</x:v>
      </x:c>
      <x:c r="Q32" s="10" t="str"/>
      <x:c r="R32" s="10" t="str">
        <x:v>fallen war-priest, cracked halo, bone crown, black ritual marks, deep crimson palette, calm pose, clean graphic illustration, flat background, generous negative space, full-art trading card composition --sref [MENACE_REFS] --sw 200 --no text, logo, watermark</x:v>
      </x:c>
      <x:c r="S32" s="10" t="str">
        <x:v>À concevoir</x:v>
      </x:c>
      <x:c r="T32" s="10" t="str"/>
    </x:row>
    <x:row r="33" ht="31.5" customHeight="1">
      <x:c r="A33" s="6" t="str">
        <x:v>X10</x:v>
      </x:c>
      <x:c r="B33" s="6" t="str">
        <x:v>Exar</x:v>
      </x:c>
      <x:c r="C33" s="6" t="str">
        <x:v>Majeure</x:v>
      </x:c>
      <x:c r="D33" s="6" t="str">
        <x:v>Menace</x:v>
      </x:c>
      <x:c r="E33" s="6" t="str">
        <x:v>Rare</x:v>
      </x:c>
      <x:c r="F33" s="6" t="str">
        <x:v>R</x:v>
      </x:c>
      <x:c r="G33" s="6" t="str">
        <x:v>Être</x:v>
      </x:c>
      <x:c r="H33" s="8" t="n">
        <x:v>4</x:v>
      </x:c>
      <x:c r="I33" s="8" t="n">
        <x:v>4</x:v>
      </x:c>
      <x:c r="J33" s="8" t="n">
        <x:v>5</x:v>
      </x:c>
      <x:c r="K33" s="9" t="str"/>
      <x:c r="L33" s="9" t="str"/>
      <x:c r="M33" s="6" t="str">
        <x:v>Finisher</x:v>
      </x:c>
      <x:c r="N33" s="6" t="str">
        <x:v>Halo + symbole</x:v>
      </x:c>
      <x:c r="O33" s="6" t="str">
        <x:v>Moyenne</x:v>
      </x:c>
      <x:c r="P33" s="10" t="str">
        <x:v>À nommer</x:v>
      </x:c>
      <x:c r="Q33" s="10" t="str"/>
      <x:c r="R33" s="10" t="str">
        <x:v>fallen war-priest, cracked halo, bone crown, black ritual marks, deep crimson palette, calm pose, clean graphic illustration, flat background, generous negative space, full-art trading card composition --sref [MENACE_REFS] --sw 200 --no text, logo, watermark</x:v>
      </x:c>
      <x:c r="S33" s="10" t="str">
        <x:v>À concevoir</x:v>
      </x:c>
      <x:c r="T33" s="10" t="str"/>
    </x:row>
    <x:row r="34" ht="31.5" customHeight="1">
      <x:c r="A34" s="6" t="str">
        <x:v>X11</x:v>
      </x:c>
      <x:c r="B34" s="6" t="str">
        <x:v>Exar</x:v>
      </x:c>
      <x:c r="C34" s="6" t="str">
        <x:v>Majeure</x:v>
      </x:c>
      <x:c r="D34" s="6" t="str">
        <x:v>Menace</x:v>
      </x:c>
      <x:c r="E34" s="6" t="str">
        <x:v>Rare</x:v>
      </x:c>
      <x:c r="F34" s="6" t="str">
        <x:v>R</x:v>
      </x:c>
      <x:c r="G34" s="6" t="str">
        <x:v>Être</x:v>
      </x:c>
      <x:c r="H34" s="8" t="n">
        <x:v>5</x:v>
      </x:c>
      <x:c r="I34" s="8" t="n">
        <x:v>5</x:v>
      </x:c>
      <x:c r="J34" s="8" t="n">
        <x:v>6</x:v>
      </x:c>
      <x:c r="K34" s="9" t="str"/>
      <x:c r="L34" s="9" t="str"/>
      <x:c r="M34" s="6" t="str">
        <x:v>Rupture / sacrifice</x:v>
      </x:c>
      <x:c r="N34" s="6" t="str">
        <x:v>Halo + symbole</x:v>
      </x:c>
      <x:c r="O34" s="6" t="str">
        <x:v>Moyenne</x:v>
      </x:c>
      <x:c r="P34" s="10" t="str">
        <x:v>À nommer</x:v>
      </x:c>
      <x:c r="Q34" s="10" t="str"/>
      <x:c r="R34" s="10" t="str">
        <x:v>fallen war-priest, cracked halo, bone crown, black ritual marks, deep crimson palette, calm pose, clean graphic illustration, flat background, generous negative space, full-art trading card composition --sref [MENACE_REFS] --sw 200 --no text, logo, watermark</x:v>
      </x:c>
      <x:c r="S34" s="10" t="str">
        <x:v>À concevoir</x:v>
      </x:c>
      <x:c r="T34" s="10" t="str"/>
    </x:row>
    <x:row r="35" ht="31.5" customHeight="1">
      <x:c r="A35" s="6" t="str">
        <x:v>X12</x:v>
      </x:c>
      <x:c r="B35" s="6" t="str">
        <x:v>Exar</x:v>
      </x:c>
      <x:c r="C35" s="6" t="str">
        <x:v>Majeure</x:v>
      </x:c>
      <x:c r="D35" s="6" t="str">
        <x:v>Menace</x:v>
      </x:c>
      <x:c r="E35" s="6" t="str">
        <x:v>Rare</x:v>
      </x:c>
      <x:c r="F35" s="6" t="str">
        <x:v>R</x:v>
      </x:c>
      <x:c r="G35" s="6" t="str">
        <x:v>Verbe</x:v>
      </x:c>
      <x:c r="H35" s="8" t="n">
        <x:v>3</x:v>
      </x:c>
      <x:c r="I35" s="8" t="str"/>
      <x:c r="J35" s="8" t="str"/>
      <x:c r="K35" s="9" t="str"/>
      <x:c r="L35" s="9" t="str"/>
      <x:c r="M35" s="6" t="str">
        <x:v>Destruction ciblée</x:v>
      </x:c>
      <x:c r="N35" s="6" t="str">
        <x:v>Halo + symbole</x:v>
      </x:c>
      <x:c r="O35" s="6" t="str">
        <x:v>Moyenne</x:v>
      </x:c>
      <x:c r="P35" s="10" t="str">
        <x:v>À nommer</x:v>
      </x:c>
      <x:c r="Q35" s="10" t="str"/>
      <x:c r="R35" s="10" t="str">
        <x:v>fallen war-priest, cracked halo, bone crown, black ritual marks, deep crimson palette, calm pose, clean graphic illustration, flat background, generous negative space, full-art trading card composition --sref [MENACE_REFS] --sw 200 --no text, logo, watermark</x:v>
      </x:c>
      <x:c r="S35" s="10" t="str">
        <x:v>À concevoir</x:v>
      </x:c>
      <x:c r="T35" s="10" t="str"/>
    </x:row>
    <x:row r="36" ht="31.5" customHeight="1">
      <x:c r="A36" s="6" t="str">
        <x:v>X13</x:v>
      </x:c>
      <x:c r="B36" s="6" t="str">
        <x:v>Exar</x:v>
      </x:c>
      <x:c r="C36" s="6" t="str">
        <x:v>Majeure</x:v>
      </x:c>
      <x:c r="D36" s="6" t="str">
        <x:v>Menace</x:v>
      </x:c>
      <x:c r="E36" s="6" t="str">
        <x:v>Rare</x:v>
      </x:c>
      <x:c r="F36" s="6" t="str">
        <x:v>R</x:v>
      </x:c>
      <x:c r="G36" s="6" t="str">
        <x:v>Être</x:v>
      </x:c>
      <x:c r="H36" s="8" t="n">
        <x:v>4</x:v>
      </x:c>
      <x:c r="I36" s="8" t="n">
        <x:v>4</x:v>
      </x:c>
      <x:c r="J36" s="8" t="n">
        <x:v>5</x:v>
      </x:c>
      <x:c r="K36" s="9" t="str"/>
      <x:c r="L36" s="9" t="str"/>
      <x:c r="M36" s="6" t="str">
        <x:v>Prononcer fort</x:v>
      </x:c>
      <x:c r="N36" s="6" t="str">
        <x:v>Halo + symbole</x:v>
      </x:c>
      <x:c r="O36" s="6" t="str">
        <x:v>Moyenne</x:v>
      </x:c>
      <x:c r="P36" s="10" t="str">
        <x:v>À nommer</x:v>
      </x:c>
      <x:c r="Q36" s="10" t="str"/>
      <x:c r="R36" s="10" t="str">
        <x:v>fallen war-priest, cracked halo, bone crown, black ritual marks, deep crimson palette, calm pose, clean graphic illustration, flat background, generous negative space, full-art trading card composition --sref [MENACE_REFS] --sw 200 --no text, logo, watermark</x:v>
      </x:c>
      <x:c r="S36" s="10" t="str">
        <x:v>À concevoir</x:v>
      </x:c>
      <x:c r="T36" s="10" t="str"/>
    </x:row>
    <x:row r="37" ht="31.5" customHeight="1">
      <x:c r="A37" s="6" t="str">
        <x:v>X14</x:v>
      </x:c>
      <x:c r="B37" s="6" t="str">
        <x:v>Exar</x:v>
      </x:c>
      <x:c r="C37" s="6" t="str">
        <x:v>Majeure</x:v>
      </x:c>
      <x:c r="D37" s="6" t="str">
        <x:v>Menace</x:v>
      </x:c>
      <x:c r="E37" s="6" t="str">
        <x:v>Rare</x:v>
      </x:c>
      <x:c r="F37" s="6" t="str">
        <x:v>R</x:v>
      </x:c>
      <x:c r="G37" s="6" t="str">
        <x:v>Être</x:v>
      </x:c>
      <x:c r="H37" s="8" t="n">
        <x:v>5</x:v>
      </x:c>
      <x:c r="I37" s="8" t="n">
        <x:v>5</x:v>
      </x:c>
      <x:c r="J37" s="8" t="n">
        <x:v>6</x:v>
      </x:c>
      <x:c r="K37" s="9" t="str"/>
      <x:c r="L37" s="9" t="str"/>
      <x:c r="M37" s="6" t="str">
        <x:v>Auto-dégâts</x:v>
      </x:c>
      <x:c r="N37" s="6" t="str">
        <x:v>Halo + symbole</x:v>
      </x:c>
      <x:c r="O37" s="6" t="str">
        <x:v>Moyenne</x:v>
      </x:c>
      <x:c r="P37" s="10" t="str">
        <x:v>À nommer</x:v>
      </x:c>
      <x:c r="Q37" s="10" t="str"/>
      <x:c r="R37" s="10" t="str">
        <x:v>fallen war-priest, cracked halo, bone crown, black ritual marks, deep crimson palette, calm pose, clean graphic illustration, flat background, generous negative space, full-art trading card composition --sref [MENACE_REFS] --sw 200 --no text, logo, watermark</x:v>
      </x:c>
      <x:c r="S37" s="10" t="str">
        <x:v>À concevoir</x:v>
      </x:c>
      <x:c r="T37" s="10" t="str"/>
    </x:row>
    <x:row r="38" ht="31.5" customHeight="1">
      <x:c r="A38" s="6" t="str">
        <x:v>X15</x:v>
      </x:c>
      <x:c r="B38" s="6" t="str">
        <x:v>Exar</x:v>
      </x:c>
      <x:c r="C38" s="6" t="str">
        <x:v>Majeure</x:v>
      </x:c>
      <x:c r="D38" s="6" t="str">
        <x:v>Menace</x:v>
      </x:c>
      <x:c r="E38" s="6" t="str">
        <x:v>Rare</x:v>
      </x:c>
      <x:c r="F38" s="6" t="str">
        <x:v>R</x:v>
      </x:c>
      <x:c r="G38" s="6" t="str">
        <x:v>Être</x:v>
      </x:c>
      <x:c r="H38" s="8" t="n">
        <x:v>3</x:v>
      </x:c>
      <x:c r="I38" s="8" t="n">
        <x:v>3</x:v>
      </x:c>
      <x:c r="J38" s="8" t="n">
        <x:v>4</x:v>
      </x:c>
      <x:c r="K38" s="9" t="str"/>
      <x:c r="L38" s="9" t="str"/>
      <x:c r="M38" s="6" t="str">
        <x:v>Finisher</x:v>
      </x:c>
      <x:c r="N38" s="6" t="str">
        <x:v>Halo + symbole</x:v>
      </x:c>
      <x:c r="O38" s="6" t="str">
        <x:v>Moyenne</x:v>
      </x:c>
      <x:c r="P38" s="10" t="str">
        <x:v>À nommer</x:v>
      </x:c>
      <x:c r="Q38" s="10" t="str"/>
      <x:c r="R38" s="10" t="str">
        <x:v>fallen war-priest, cracked halo, bone crown, black ritual marks, deep crimson palette, calm pose, clean graphic illustration, flat background, generous negative space, full-art trading card composition --sref [MENACE_REFS] --sw 200 --no text, logo, watermark</x:v>
      </x:c>
      <x:c r="S38" s="10" t="str">
        <x:v>À concevoir</x:v>
      </x:c>
      <x:c r="T38" s="10" t="str"/>
    </x:row>
    <x:row r="39" ht="31.5" customHeight="1">
      <x:c r="A39" s="6" t="str">
        <x:v>X16</x:v>
      </x:c>
      <x:c r="B39" s="6" t="str">
        <x:v>Exar</x:v>
      </x:c>
      <x:c r="C39" s="6" t="str">
        <x:v>Majeure</x:v>
      </x:c>
      <x:c r="D39" s="6" t="str">
        <x:v>Menace</x:v>
      </x:c>
      <x:c r="E39" s="6" t="str">
        <x:v>Épique</x:v>
      </x:c>
      <x:c r="F39" s="6" t="str">
        <x:v>E</x:v>
      </x:c>
      <x:c r="G39" s="6" t="str">
        <x:v>Verbe</x:v>
      </x:c>
      <x:c r="H39" s="8" t="n">
        <x:v>2</x:v>
      </x:c>
      <x:c r="I39" s="8" t="str"/>
      <x:c r="J39" s="8" t="str"/>
      <x:c r="K39" s="9" t="str"/>
      <x:c r="L39" s="9" t="str"/>
      <x:c r="M39" s="6" t="str">
        <x:v>Rupture / sacrifice</x:v>
      </x:c>
      <x:c r="N39" s="6" t="str">
        <x:v>Halo complexe</x:v>
      </x:c>
      <x:c r="O39" s="6" t="str">
        <x:v>Forte</x:v>
      </x:c>
      <x:c r="P39" s="10" t="str">
        <x:v>À nommer</x:v>
      </x:c>
      <x:c r="Q39" s="10" t="str"/>
      <x:c r="R39" s="10" t="str">
        <x:v>fallen war-priest, cracked halo, bone crown, black ritual marks, deep crimson palette, calm pose, clean graphic illustration, flat background, generous negative space, full-art trading card composition --sref [MENACE_REFS] --sw 200 --no text, logo, watermark</x:v>
      </x:c>
      <x:c r="S39" s="10" t="str">
        <x:v>À concevoir</x:v>
      </x:c>
      <x:c r="T39" s="10" t="str"/>
    </x:row>
    <x:row r="40" ht="31.5" customHeight="1">
      <x:c r="A40" s="6" t="str">
        <x:v>X17</x:v>
      </x:c>
      <x:c r="B40" s="6" t="str">
        <x:v>Exar</x:v>
      </x:c>
      <x:c r="C40" s="6" t="str">
        <x:v>Majeure</x:v>
      </x:c>
      <x:c r="D40" s="6" t="str">
        <x:v>Menace</x:v>
      </x:c>
      <x:c r="E40" s="6" t="str">
        <x:v>Épique</x:v>
      </x:c>
      <x:c r="F40" s="6" t="str">
        <x:v>E</x:v>
      </x:c>
      <x:c r="G40" s="6" t="str">
        <x:v>Être</x:v>
      </x:c>
      <x:c r="H40" s="8" t="n">
        <x:v>6</x:v>
      </x:c>
      <x:c r="I40" s="8" t="n">
        <x:v>6</x:v>
      </x:c>
      <x:c r="J40" s="8" t="n">
        <x:v>7</x:v>
      </x:c>
      <x:c r="K40" s="9" t="str"/>
      <x:c r="L40" s="9" t="str"/>
      <x:c r="M40" s="6" t="str">
        <x:v>Destruction ciblée</x:v>
      </x:c>
      <x:c r="N40" s="6" t="str">
        <x:v>Halo complexe</x:v>
      </x:c>
      <x:c r="O40" s="6" t="str">
        <x:v>Forte</x:v>
      </x:c>
      <x:c r="P40" s="10" t="str">
        <x:v>À nommer</x:v>
      </x:c>
      <x:c r="Q40" s="10" t="str"/>
      <x:c r="R40" s="10" t="str">
        <x:v>fallen war-priest, cracked halo, bone crown, black ritual marks, deep crimson palette, calm pose, clean graphic illustration, flat background, generous negative space, full-art trading card composition --sref [MENACE_REFS] --sw 200 --no text, logo, watermark</x:v>
      </x:c>
      <x:c r="S40" s="10" t="str">
        <x:v>À concevoir</x:v>
      </x:c>
      <x:c r="T40" s="10" t="str"/>
    </x:row>
    <x:row r="41" ht="31.5" customHeight="1">
      <x:c r="A41" s="6" t="str">
        <x:v>X18</x:v>
      </x:c>
      <x:c r="B41" s="6" t="str">
        <x:v>Exar</x:v>
      </x:c>
      <x:c r="C41" s="6" t="str">
        <x:v>Majeure</x:v>
      </x:c>
      <x:c r="D41" s="6" t="str">
        <x:v>Menace</x:v>
      </x:c>
      <x:c r="E41" s="6" t="str">
        <x:v>Épique</x:v>
      </x:c>
      <x:c r="F41" s="6" t="str">
        <x:v>E</x:v>
      </x:c>
      <x:c r="G41" s="6" t="str">
        <x:v>Être</x:v>
      </x:c>
      <x:c r="H41" s="8" t="n">
        <x:v>4</x:v>
      </x:c>
      <x:c r="I41" s="8" t="n">
        <x:v>4</x:v>
      </x:c>
      <x:c r="J41" s="8" t="n">
        <x:v>5</x:v>
      </x:c>
      <x:c r="K41" s="9" t="str"/>
      <x:c r="L41" s="9" t="str"/>
      <x:c r="M41" s="6" t="str">
        <x:v>Prononcer fort</x:v>
      </x:c>
      <x:c r="N41" s="6" t="str">
        <x:v>Halo complexe</x:v>
      </x:c>
      <x:c r="O41" s="6" t="str">
        <x:v>Forte</x:v>
      </x:c>
      <x:c r="P41" s="10" t="str">
        <x:v>À nommer</x:v>
      </x:c>
      <x:c r="Q41" s="10" t="str"/>
      <x:c r="R41" s="10" t="str">
        <x:v>fallen war-priest, cracked halo, bone crown, black ritual marks, deep crimson palette, calm pose, clean graphic illustration, flat background, generous negative space, full-art trading card composition --sref [MENACE_REFS] --sw 200 --no text, logo, watermark</x:v>
      </x:c>
      <x:c r="S41" s="10" t="str">
        <x:v>À concevoir</x:v>
      </x:c>
      <x:c r="T41" s="10" t="str"/>
    </x:row>
    <x:row r="42" ht="31.5" customHeight="1">
      <x:c r="A42" s="6" t="str">
        <x:v>X19</x:v>
      </x:c>
      <x:c r="B42" s="6" t="str">
        <x:v>Exar</x:v>
      </x:c>
      <x:c r="C42" s="6" t="str">
        <x:v>Majeure</x:v>
      </x:c>
      <x:c r="D42" s="6" t="str">
        <x:v>Menace</x:v>
      </x:c>
      <x:c r="E42" s="6" t="str">
        <x:v>Épique</x:v>
      </x:c>
      <x:c r="F42" s="6" t="str">
        <x:v>E</x:v>
      </x:c>
      <x:c r="G42" s="6" t="str">
        <x:v>Être</x:v>
      </x:c>
      <x:c r="H42" s="8" t="n">
        <x:v>5</x:v>
      </x:c>
      <x:c r="I42" s="8" t="n">
        <x:v>5</x:v>
      </x:c>
      <x:c r="J42" s="8" t="n">
        <x:v>6</x:v>
      </x:c>
      <x:c r="K42" s="9" t="str"/>
      <x:c r="L42" s="9" t="str"/>
      <x:c r="M42" s="6" t="str">
        <x:v>Auto-dégâts</x:v>
      </x:c>
      <x:c r="N42" s="6" t="str">
        <x:v>Halo complexe</x:v>
      </x:c>
      <x:c r="O42" s="6" t="str">
        <x:v>Forte</x:v>
      </x:c>
      <x:c r="P42" s="10" t="str">
        <x:v>À nommer</x:v>
      </x:c>
      <x:c r="Q42" s="10" t="str"/>
      <x:c r="R42" s="10" t="str">
        <x:v>fallen war-priest, cracked halo, bone crown, black ritual marks, deep crimson palette, calm pose, clean graphic illustration, flat background, generous negative space, full-art trading card composition --sref [MENACE_REFS] --sw 200 --no text, logo, watermark</x:v>
      </x:c>
      <x:c r="S42" s="10" t="str">
        <x:v>À concevoir</x:v>
      </x:c>
      <x:c r="T42" s="10" t="str"/>
    </x:row>
    <x:row r="43" ht="31.5" customHeight="1">
      <x:c r="A43" s="6" t="str">
        <x:v>X20</x:v>
      </x:c>
      <x:c r="B43" s="6" t="str">
        <x:v>Exar</x:v>
      </x:c>
      <x:c r="C43" s="6" t="str">
        <x:v>Majeure</x:v>
      </x:c>
      <x:c r="D43" s="6" t="str">
        <x:v>Menace</x:v>
      </x:c>
      <x:c r="E43" s="6" t="str">
        <x:v>Légendaire</x:v>
      </x:c>
      <x:c r="F43" s="6" t="str">
        <x:v>L</x:v>
      </x:c>
      <x:c r="G43" s="6" t="str">
        <x:v>Être</x:v>
      </x:c>
      <x:c r="H43" s="8" t="n">
        <x:v>7</x:v>
      </x:c>
      <x:c r="I43" s="8" t="n">
        <x:v>8</x:v>
      </x:c>
      <x:c r="J43" s="8" t="n">
        <x:v>8</x:v>
      </x:c>
      <x:c r="K43" s="9" t="str"/>
      <x:c r="L43" s="9" t="str"/>
      <x:c r="M43" s="6" t="str">
        <x:v>Finisher</x:v>
      </x:c>
      <x:c r="N43" s="6" t="str">
        <x:v>Halo mythique</x:v>
      </x:c>
      <x:c r="O43" s="6" t="str">
        <x:v>Très forte</x:v>
      </x:c>
      <x:c r="P43" s="10" t="str">
        <x:v>À nommer</x:v>
      </x:c>
      <x:c r="Q43" s="10" t="str"/>
      <x:c r="R43" s="10" t="str">
        <x:v>fallen war-priest, cracked halo, bone crown, black ritual marks, deep crimson palette, calm pose, clean graphic illustration, flat background, generous negative space, full-art trading card composition --sref [MENACE_REFS] --sw 200 --no text, logo, watermark</x:v>
      </x:c>
      <x:c r="S43" s="10" t="str">
        <x:v>À concevoir</x:v>
      </x:c>
      <x:c r="T43" s="10" t="str"/>
    </x:row>
    <x:row r="44" ht="31.5" customHeight="1">
      <x:c r="A44" s="6" t="str">
        <x:v>X21</x:v>
      </x:c>
      <x:c r="B44" s="6" t="str">
        <x:v>Exar</x:v>
      </x:c>
      <x:c r="C44" s="6" t="str">
        <x:v>Majeure</x:v>
      </x:c>
      <x:c r="D44" s="6" t="str">
        <x:v>Menace</x:v>
      </x:c>
      <x:c r="E44" s="6" t="str">
        <x:v>Légendaire</x:v>
      </x:c>
      <x:c r="F44" s="6" t="str">
        <x:v>L</x:v>
      </x:c>
      <x:c r="G44" s="6" t="str">
        <x:v>Être</x:v>
      </x:c>
      <x:c r="H44" s="8" t="n">
        <x:v>5</x:v>
      </x:c>
      <x:c r="I44" s="8" t="n">
        <x:v>6</x:v>
      </x:c>
      <x:c r="J44" s="8" t="n">
        <x:v>6</x:v>
      </x:c>
      <x:c r="K44" s="9" t="str"/>
      <x:c r="L44" s="9" t="str"/>
      <x:c r="M44" s="6" t="str">
        <x:v>Rupture / sacrifice</x:v>
      </x:c>
      <x:c r="N44" s="6" t="str">
        <x:v>Halo mythique</x:v>
      </x:c>
      <x:c r="O44" s="6" t="str">
        <x:v>Très forte</x:v>
      </x:c>
      <x:c r="P44" s="10" t="str">
        <x:v>À nommer</x:v>
      </x:c>
      <x:c r="Q44" s="10" t="str"/>
      <x:c r="R44" s="10" t="str">
        <x:v>fallen war-priest, cracked halo, bone crown, black ritual marks, deep crimson palette, calm pose, clean graphic illustration, flat background, generous negative space, full-art trading card composition --sref [MENACE_REFS] --sw 200 --no text, logo, watermark</x:v>
      </x:c>
      <x:c r="S44" s="10" t="str">
        <x:v>À concevoir</x:v>
      </x:c>
      <x:c r="T44" s="10" t="str"/>
    </x:row>
    <x:row r="45" ht="31.5" customHeight="1">
      <x:c r="A45" s="6" t="str">
        <x:v>X22</x:v>
      </x:c>
      <x:c r="B45" s="6" t="str">
        <x:v>Exar</x:v>
      </x:c>
      <x:c r="C45" s="6" t="str">
        <x:v>Majeure</x:v>
      </x:c>
      <x:c r="D45" s="6" t="str">
        <x:v>Menace</x:v>
      </x:c>
      <x:c r="E45" s="6" t="str">
        <x:v>Prismatique</x:v>
      </x:c>
      <x:c r="F45" s="6" t="str">
        <x:v>P</x:v>
      </x:c>
      <x:c r="G45" s="6" t="str">
        <x:v>Être</x:v>
      </x:c>
      <x:c r="H45" s="8" t="n">
        <x:v>8</x:v>
      </x:c>
      <x:c r="I45" s="8" t="n">
        <x:v>9</x:v>
      </x:c>
      <x:c r="J45" s="8" t="n">
        <x:v>9</x:v>
      </x:c>
      <x:c r="K45" s="9" t="str"/>
      <x:c r="L45" s="9" t="str"/>
      <x:c r="M45" s="6" t="str">
        <x:v>Destruction ciblée</x:v>
      </x:c>
      <x:c r="N45" s="6" t="str">
        <x:v>Halo ultime / éclipse</x:v>
      </x:c>
      <x:c r="O45" s="6" t="str">
        <x:v>Ultime</x:v>
      </x:c>
      <x:c r="P45" s="10" t="str">
        <x:v>À nommer</x:v>
      </x:c>
      <x:c r="Q45" s="10" t="str"/>
      <x:c r="R45" s="10" t="str">
        <x:v>iconic fallen war-priest, cracked halo, bone crown, black ritual marks, deep crimson palette, symmetrical frontal pose, massive eclipse halo, floating gold fragments, ornate sacred geometry, radiant prism light accents, mythic stillness, high ornament density, clean graphic illustration, flat background, premium collector trading card art --sref [MENACE_REFS] --sw 200 --no text, logo, watermark</x:v>
      </x:c>
      <x:c r="S45" s="10" t="str">
        <x:v>À concevoir</x:v>
      </x:c>
      <x:c r="T45" s="10" t="str"/>
    </x:row>
    <x:row r="46" ht="31.5" customHeight="1">
      <x:c r="A46" s="6" t="str">
        <x:v>E01</x:v>
      </x:c>
      <x:c r="B46" s="6" t="str">
        <x:v>Eshar</x:v>
      </x:c>
      <x:c r="C46" s="6" t="str">
        <x:v>Mineure</x:v>
      </x:c>
      <x:c r="D46" s="6" t="str">
        <x:v>Spectre</x:v>
      </x:c>
      <x:c r="E46" s="6" t="str">
        <x:v>Commune</x:v>
      </x:c>
      <x:c r="F46" s="6" t="str">
        <x:v>C</x:v>
      </x:c>
      <x:c r="G46" s="6" t="str">
        <x:v>Être</x:v>
      </x:c>
      <x:c r="H46" s="8" t="n">
        <x:v>3</x:v>
      </x:c>
      <x:c r="I46" s="8" t="n">
        <x:v>3</x:v>
      </x:c>
      <x:c r="J46" s="8" t="n">
        <x:v>3</x:v>
      </x:c>
      <x:c r="K46" s="9" t="str"/>
      <x:c r="L46" s="9" t="str"/>
      <x:c r="M46" s="6" t="str">
        <x:v>Mémoire / pioche</x:v>
      </x:c>
      <x:c r="N46" s="6" t="str">
        <x:v>Halo simple</x:v>
      </x:c>
      <x:c r="O46" s="6" t="str">
        <x:v>Faible</x:v>
      </x:c>
      <x:c r="P46" s="10" t="str">
        <x:v>À nommer</x:v>
      </x:c>
      <x:c r="Q46" s="10" t="str"/>
      <x:c r="R46" s="10" t="str">
        <x:v>masked ghost oracle, pale moon halo, white moths, translucent veil, muted violet palette, calm pose, clean graphic illustration, flat background, generous negative space, full-art trading card composition --sref [SPECTRE_REFS] --sw 200 --no text, logo, watermark</x:v>
      </x:c>
      <x:c r="S46" s="10" t="str">
        <x:v>À concevoir</x:v>
      </x:c>
      <x:c r="T46" s="10" t="str"/>
    </x:row>
    <x:row r="47" ht="31.5" customHeight="1">
      <x:c r="A47" s="6" t="str">
        <x:v>E02</x:v>
      </x:c>
      <x:c r="B47" s="6" t="str">
        <x:v>Eshar</x:v>
      </x:c>
      <x:c r="C47" s="6" t="str">
        <x:v>Mineure</x:v>
      </x:c>
      <x:c r="D47" s="6" t="str">
        <x:v>Spectre</x:v>
      </x:c>
      <x:c r="E47" s="6" t="str">
        <x:v>Commune</x:v>
      </x:c>
      <x:c r="F47" s="6" t="str">
        <x:v>C</x:v>
      </x:c>
      <x:c r="G47" s="6" t="str">
        <x:v>Être</x:v>
      </x:c>
      <x:c r="H47" s="8" t="n">
        <x:v>4</x:v>
      </x:c>
      <x:c r="I47" s="8" t="n">
        <x:v>4</x:v>
      </x:c>
      <x:c r="J47" s="8" t="n">
        <x:v>4</x:v>
      </x:c>
      <x:c r="K47" s="9" t="str"/>
      <x:c r="L47" s="9" t="str"/>
      <x:c r="M47" s="6" t="str">
        <x:v>Information</x:v>
      </x:c>
      <x:c r="N47" s="6" t="str">
        <x:v>Halo simple</x:v>
      </x:c>
      <x:c r="O47" s="6" t="str">
        <x:v>Faible</x:v>
      </x:c>
      <x:c r="P47" s="10" t="str">
        <x:v>À nommer</x:v>
      </x:c>
      <x:c r="Q47" s="10" t="str"/>
      <x:c r="R47" s="10" t="str">
        <x:v>masked ghost oracle, pale moon halo, white moths, translucent veil, muted violet palette, calm pose, clean graphic illustration, flat background, generous negative space, full-art trading card composition --sref [SPECTRE_REFS] --sw 200 --no text, logo, watermark</x:v>
      </x:c>
      <x:c r="S47" s="10" t="str">
        <x:v>À concevoir</x:v>
      </x:c>
      <x:c r="T47" s="10" t="str"/>
    </x:row>
    <x:row r="48" ht="31.5" customHeight="1">
      <x:c r="A48" s="6" t="str">
        <x:v>E03</x:v>
      </x:c>
      <x:c r="B48" s="6" t="str">
        <x:v>Eshar</x:v>
      </x:c>
      <x:c r="C48" s="6" t="str">
        <x:v>Mineure</x:v>
      </x:c>
      <x:c r="D48" s="6" t="str">
        <x:v>Spectre</x:v>
      </x:c>
      <x:c r="E48" s="6" t="str">
        <x:v>Commune</x:v>
      </x:c>
      <x:c r="F48" s="6" t="str">
        <x:v>C</x:v>
      </x:c>
      <x:c r="G48" s="6" t="str">
        <x:v>Être</x:v>
      </x:c>
      <x:c r="H48" s="8" t="n">
        <x:v>2</x:v>
      </x:c>
      <x:c r="I48" s="8" t="n">
        <x:v>2</x:v>
      </x:c>
      <x:c r="J48" s="8" t="n">
        <x:v>2</x:v>
      </x:c>
      <x:c r="K48" s="9" t="str"/>
      <x:c r="L48" s="9" t="str"/>
      <x:c r="M48" s="6" t="str">
        <x:v>Exil contrôlé</x:v>
      </x:c>
      <x:c r="N48" s="6" t="str">
        <x:v>Halo simple</x:v>
      </x:c>
      <x:c r="O48" s="6" t="str">
        <x:v>Faible</x:v>
      </x:c>
      <x:c r="P48" s="10" t="str">
        <x:v>À nommer</x:v>
      </x:c>
      <x:c r="Q48" s="10" t="str"/>
      <x:c r="R48" s="10" t="str">
        <x:v>masked ghost oracle, pale moon halo, white moths, translucent veil, muted violet palette, calm pose, clean graphic illustration, flat background, generous negative space, full-art trading card composition --sref [SPECTRE_REFS] --sw 200 --no text, logo, watermark</x:v>
      </x:c>
      <x:c r="S48" s="10" t="str">
        <x:v>À concevoir</x:v>
      </x:c>
      <x:c r="T48" s="10" t="str"/>
    </x:row>
    <x:row r="49" ht="31.5" customHeight="1">
      <x:c r="A49" s="6" t="str">
        <x:v>E04</x:v>
      </x:c>
      <x:c r="B49" s="6" t="str">
        <x:v>Eshar</x:v>
      </x:c>
      <x:c r="C49" s="6" t="str">
        <x:v>Mineure</x:v>
      </x:c>
      <x:c r="D49" s="6" t="str">
        <x:v>Spectre</x:v>
      </x:c>
      <x:c r="E49" s="6" t="str">
        <x:v>Rare</x:v>
      </x:c>
      <x:c r="F49" s="6" t="str">
        <x:v>R</x:v>
      </x:c>
      <x:c r="G49" s="6" t="str">
        <x:v>Verbe</x:v>
      </x:c>
      <x:c r="H49" s="8" t="n">
        <x:v>5</x:v>
      </x:c>
      <x:c r="I49" s="8" t="str"/>
      <x:c r="J49" s="8" t="str"/>
      <x:c r="K49" s="9" t="str"/>
      <x:c r="L49" s="9" t="str"/>
      <x:c r="M49" s="6" t="str">
        <x:v>Écho de défausse</x:v>
      </x:c>
      <x:c r="N49" s="6" t="str">
        <x:v>Halo + symbole</x:v>
      </x:c>
      <x:c r="O49" s="6" t="str">
        <x:v>Moyenne</x:v>
      </x:c>
      <x:c r="P49" s="10" t="str">
        <x:v>À nommer</x:v>
      </x:c>
      <x:c r="Q49" s="10" t="str"/>
      <x:c r="R49" s="10" t="str">
        <x:v>masked ghost oracle, pale moon halo, white moths, translucent veil, muted violet palette, calm pose, clean graphic illustration, flat background, generous negative space, full-art trading card composition --sref [SPECTRE_REFS] --sw 200 --no text, logo, watermark</x:v>
      </x:c>
      <x:c r="S49" s="10" t="str">
        <x:v>À concevoir</x:v>
      </x:c>
      <x:c r="T49" s="10" t="str"/>
    </x:row>
    <x:row r="50" ht="31.5" customHeight="1">
      <x:c r="A50" s="6" t="str">
        <x:v>E05</x:v>
      </x:c>
      <x:c r="B50" s="6" t="str">
        <x:v>Eshar</x:v>
      </x:c>
      <x:c r="C50" s="6" t="str">
        <x:v>Mineure</x:v>
      </x:c>
      <x:c r="D50" s="6" t="str">
        <x:v>Spectre</x:v>
      </x:c>
      <x:c r="E50" s="6" t="str">
        <x:v>Épique</x:v>
      </x:c>
      <x:c r="F50" s="6" t="str">
        <x:v>E</x:v>
      </x:c>
      <x:c r="G50" s="6" t="str">
        <x:v>Être</x:v>
      </x:c>
      <x:c r="H50" s="8" t="n">
        <x:v>6</x:v>
      </x:c>
      <x:c r="I50" s="8" t="n">
        <x:v>6</x:v>
      </x:c>
      <x:c r="J50" s="8" t="n">
        <x:v>7</x:v>
      </x:c>
      <x:c r="K50" s="9" t="str"/>
      <x:c r="L50" s="9" t="str"/>
      <x:c r="M50" s="6" t="str">
        <x:v>Mémoire / pioche</x:v>
      </x:c>
      <x:c r="N50" s="6" t="str">
        <x:v>Halo complexe</x:v>
      </x:c>
      <x:c r="O50" s="6" t="str">
        <x:v>Forte</x:v>
      </x:c>
      <x:c r="P50" s="10" t="str">
        <x:v>À nommer</x:v>
      </x:c>
      <x:c r="Q50" s="10" t="str"/>
      <x:c r="R50" s="10" t="str">
        <x:v>masked ghost oracle, pale moon halo, white moths, translucent veil, muted violet palette, calm pose, clean graphic illustration, flat background, generous negative space, full-art trading card composition --sref [SPECTRE_REFS] --sw 200 --no text, logo, watermark</x:v>
      </x:c>
      <x:c r="S50" s="10" t="str">
        <x:v>À concevoir</x:v>
      </x:c>
      <x:c r="T50" s="10" t="str"/>
    </x:row>
    <x:row r="51" ht="31.5" customHeight="1">
      <x:c r="A51" s="6" t="str">
        <x:v>E06</x:v>
      </x:c>
      <x:c r="B51" s="6" t="str">
        <x:v>Eshar</x:v>
      </x:c>
      <x:c r="C51" s="6" t="str">
        <x:v>Mineure</x:v>
      </x:c>
      <x:c r="D51" s="6" t="str">
        <x:v>Spectre</x:v>
      </x:c>
      <x:c r="E51" s="6" t="str">
        <x:v>Légendaire</x:v>
      </x:c>
      <x:c r="F51" s="6" t="str">
        <x:v>L</x:v>
      </x:c>
      <x:c r="G51" s="6" t="str">
        <x:v>Être</x:v>
      </x:c>
      <x:c r="H51" s="8" t="n">
        <x:v>5</x:v>
      </x:c>
      <x:c r="I51" s="8" t="n">
        <x:v>6</x:v>
      </x:c>
      <x:c r="J51" s="8" t="n">
        <x:v>6</x:v>
      </x:c>
      <x:c r="K51" s="9" t="str"/>
      <x:c r="L51" s="9" t="str"/>
      <x:c r="M51" s="6" t="str">
        <x:v>Information</x:v>
      </x:c>
      <x:c r="N51" s="6" t="str">
        <x:v>Halo mythique</x:v>
      </x:c>
      <x:c r="O51" s="6" t="str">
        <x:v>Très forte</x:v>
      </x:c>
      <x:c r="P51" s="10" t="str">
        <x:v>À nommer</x:v>
      </x:c>
      <x:c r="Q51" s="10" t="str"/>
      <x:c r="R51" s="10" t="str">
        <x:v>masked ghost oracle, pale moon halo, white moths, translucent veil, muted violet palette, calm pose, clean graphic illustration, flat background, generous negative space, full-art trading card composition --sref [SPECTRE_REFS] --sw 200 --no text, logo, watermark</x:v>
      </x:c>
      <x:c r="S51" s="10" t="str">
        <x:v>À concevoir</x:v>
      </x:c>
      <x:c r="T51" s="10" t="str"/>
    </x:row>
    <x:row r="52" ht="31.5" customHeight="1">
      <x:c r="A52" s="6" t="str">
        <x:v>M01</x:v>
      </x:c>
      <x:c r="B52" s="6" t="str">
        <x:v>Morar</x:v>
      </x:c>
      <x:c r="C52" s="6" t="str">
        <x:v>Mineure</x:v>
      </x:c>
      <x:c r="D52" s="6" t="str">
        <x:v>Exil</x:v>
      </x:c>
      <x:c r="E52" s="6" t="str">
        <x:v>Commune</x:v>
      </x:c>
      <x:c r="F52" s="6" t="str">
        <x:v>C</x:v>
      </x:c>
      <x:c r="G52" s="6" t="str">
        <x:v>Être</x:v>
      </x:c>
      <x:c r="H52" s="8" t="n">
        <x:v>3</x:v>
      </x:c>
      <x:c r="I52" s="8" t="n">
        <x:v>3</x:v>
      </x:c>
      <x:c r="J52" s="8" t="n">
        <x:v>3</x:v>
      </x:c>
      <x:c r="K52" s="9" t="str"/>
      <x:c r="L52" s="9" t="str"/>
      <x:c r="M52" s="6" t="str">
        <x:v>Mutation</x:v>
      </x:c>
      <x:c r="N52" s="6" t="str">
        <x:v>Halo simple</x:v>
      </x:c>
      <x:c r="O52" s="6" t="str">
        <x:v>Faible</x:v>
      </x:c>
      <x:c r="P52" s="10" t="str">
        <x:v>À nommer</x:v>
      </x:c>
      <x:c r="Q52" s="10" t="str"/>
      <x:c r="R52" s="10" t="str">
        <x:v>fallen street angel, oversized bomber jacket, tarnished halo, black wings, pastel blue palette, calm pose, clean graphic illustration, flat background, generous negative space, full-art trading card composition --sref [EXIL_REFS] --sw 200 --no text, logo, watermark</x:v>
      </x:c>
      <x:c r="S52" s="10" t="str">
        <x:v>À concevoir</x:v>
      </x:c>
      <x:c r="T52" s="10" t="str"/>
    </x:row>
    <x:row r="53" ht="31.5" customHeight="1">
      <x:c r="A53" s="6" t="str">
        <x:v>M02</x:v>
      </x:c>
      <x:c r="B53" s="6" t="str">
        <x:v>Morar</x:v>
      </x:c>
      <x:c r="C53" s="6" t="str">
        <x:v>Mineure</x:v>
      </x:c>
      <x:c r="D53" s="6" t="str">
        <x:v>Exil</x:v>
      </x:c>
      <x:c r="E53" s="6" t="str">
        <x:v>Commune</x:v>
      </x:c>
      <x:c r="F53" s="6" t="str">
        <x:v>C</x:v>
      </x:c>
      <x:c r="G53" s="6" t="str">
        <x:v>Être</x:v>
      </x:c>
      <x:c r="H53" s="8" t="n">
        <x:v>4</x:v>
      </x:c>
      <x:c r="I53" s="8" t="n">
        <x:v>4</x:v>
      </x:c>
      <x:c r="J53" s="8" t="n">
        <x:v>4</x:v>
      </x:c>
      <x:c r="K53" s="9" t="str"/>
      <x:c r="L53" s="9" t="str"/>
      <x:c r="M53" s="6" t="str">
        <x:v>Réduction de coût</x:v>
      </x:c>
      <x:c r="N53" s="6" t="str">
        <x:v>Halo simple</x:v>
      </x:c>
      <x:c r="O53" s="6" t="str">
        <x:v>Faible</x:v>
      </x:c>
      <x:c r="P53" s="10" t="str">
        <x:v>À nommer</x:v>
      </x:c>
      <x:c r="Q53" s="10" t="str"/>
      <x:c r="R53" s="10" t="str">
        <x:v>fallen street angel, oversized bomber jacket, tarnished halo, black wings, pastel blue palette, calm pose, clean graphic illustration, flat background, generous negative space, full-art trading card composition --sref [EXIL_REFS] --sw 200 --no text, logo, watermark</x:v>
      </x:c>
      <x:c r="S53" s="10" t="str">
        <x:v>À concevoir</x:v>
      </x:c>
      <x:c r="T53" s="10" t="str"/>
    </x:row>
    <x:row r="54" ht="31.5" customHeight="1">
      <x:c r="A54" s="6" t="str">
        <x:v>M03</x:v>
      </x:c>
      <x:c r="B54" s="6" t="str">
        <x:v>Morar</x:v>
      </x:c>
      <x:c r="C54" s="6" t="str">
        <x:v>Mineure</x:v>
      </x:c>
      <x:c r="D54" s="6" t="str">
        <x:v>Exil</x:v>
      </x:c>
      <x:c r="E54" s="6" t="str">
        <x:v>Commune</x:v>
      </x:c>
      <x:c r="F54" s="6" t="str">
        <x:v>C</x:v>
      </x:c>
      <x:c r="G54" s="6" t="str">
        <x:v>Être</x:v>
      </x:c>
      <x:c r="H54" s="8" t="n">
        <x:v>2</x:v>
      </x:c>
      <x:c r="I54" s="8" t="n">
        <x:v>2</x:v>
      </x:c>
      <x:c r="J54" s="8" t="n">
        <x:v>2</x:v>
      </x:c>
      <x:c r="K54" s="9" t="str"/>
      <x:c r="L54" s="9" t="str"/>
      <x:c r="M54" s="6" t="str">
        <x:v>Adaptation défensive</x:v>
      </x:c>
      <x:c r="N54" s="6" t="str">
        <x:v>Halo simple</x:v>
      </x:c>
      <x:c r="O54" s="6" t="str">
        <x:v>Faible</x:v>
      </x:c>
      <x:c r="P54" s="10" t="str">
        <x:v>À nommer</x:v>
      </x:c>
      <x:c r="Q54" s="10" t="str"/>
      <x:c r="R54" s="10" t="str">
        <x:v>fallen street angel, oversized bomber jacket, tarnished halo, black wings, pastel blue palette, calm pose, clean graphic illustration, flat background, generous negative space, full-art trading card composition --sref [EXIL_REFS] --sw 200 --no text, logo, watermark</x:v>
      </x:c>
      <x:c r="S54" s="10" t="str">
        <x:v>À concevoir</x:v>
      </x:c>
      <x:c r="T54" s="10" t="str"/>
    </x:row>
    <x:row r="55" ht="31.5" customHeight="1">
      <x:c r="A55" s="6" t="str">
        <x:v>M04</x:v>
      </x:c>
      <x:c r="B55" s="6" t="str">
        <x:v>Morar</x:v>
      </x:c>
      <x:c r="C55" s="6" t="str">
        <x:v>Mineure</x:v>
      </x:c>
      <x:c r="D55" s="6" t="str">
        <x:v>Exil</x:v>
      </x:c>
      <x:c r="E55" s="6" t="str">
        <x:v>Rare</x:v>
      </x:c>
      <x:c r="F55" s="6" t="str">
        <x:v>R</x:v>
      </x:c>
      <x:c r="G55" s="6" t="str">
        <x:v>Verbe</x:v>
      </x:c>
      <x:c r="H55" s="8" t="n">
        <x:v>5</x:v>
      </x:c>
      <x:c r="I55" s="8" t="str"/>
      <x:c r="J55" s="8" t="str"/>
      <x:c r="K55" s="9" t="str"/>
      <x:c r="L55" s="9" t="str"/>
      <x:c r="M55" s="6" t="str">
        <x:v>Mode flexible</x:v>
      </x:c>
      <x:c r="N55" s="6" t="str">
        <x:v>Halo + symbole</x:v>
      </x:c>
      <x:c r="O55" s="6" t="str">
        <x:v>Moyenne</x:v>
      </x:c>
      <x:c r="P55" s="10" t="str">
        <x:v>À nommer</x:v>
      </x:c>
      <x:c r="Q55" s="10" t="str"/>
      <x:c r="R55" s="10" t="str">
        <x:v>fallen street angel, oversized bomber jacket, tarnished halo, black wings, pastel blue palette, calm pose, clean graphic illustration, flat background, generous negative space, full-art trading card composition --sref [EXIL_REFS] --sw 200 --no text, logo, watermark</x:v>
      </x:c>
      <x:c r="S55" s="10" t="str">
        <x:v>À concevoir</x:v>
      </x:c>
      <x:c r="T55" s="10" t="str"/>
    </x:row>
    <x:row r="56" ht="31.5" customHeight="1">
      <x:c r="A56" s="6" t="str">
        <x:v>M05</x:v>
      </x:c>
      <x:c r="B56" s="6" t="str">
        <x:v>Morar</x:v>
      </x:c>
      <x:c r="C56" s="6" t="str">
        <x:v>Mineure</x:v>
      </x:c>
      <x:c r="D56" s="6" t="str">
        <x:v>Exil</x:v>
      </x:c>
      <x:c r="E56" s="6" t="str">
        <x:v>Épique</x:v>
      </x:c>
      <x:c r="F56" s="6" t="str">
        <x:v>E</x:v>
      </x:c>
      <x:c r="G56" s="6" t="str">
        <x:v>Être</x:v>
      </x:c>
      <x:c r="H56" s="8" t="n">
        <x:v>6</x:v>
      </x:c>
      <x:c r="I56" s="8" t="n">
        <x:v>6</x:v>
      </x:c>
      <x:c r="J56" s="8" t="n">
        <x:v>7</x:v>
      </x:c>
      <x:c r="K56" s="9" t="str"/>
      <x:c r="L56" s="9" t="str"/>
      <x:c r="M56" s="6" t="str">
        <x:v>Mutation</x:v>
      </x:c>
      <x:c r="N56" s="6" t="str">
        <x:v>Halo complexe</x:v>
      </x:c>
      <x:c r="O56" s="6" t="str">
        <x:v>Forte</x:v>
      </x:c>
      <x:c r="P56" s="10" t="str">
        <x:v>À nommer</x:v>
      </x:c>
      <x:c r="Q56" s="10" t="str"/>
      <x:c r="R56" s="10" t="str">
        <x:v>fallen street angel, oversized bomber jacket, tarnished halo, black wings, pastel blue palette, calm pose, clean graphic illustration, flat background, generous negative space, full-art trading card composition --sref [EXIL_REFS] --sw 200 --no text, logo, watermark</x:v>
      </x:c>
      <x:c r="S56" s="10" t="str">
        <x:v>À concevoir</x:v>
      </x:c>
      <x:c r="T56" s="10" t="str"/>
    </x:row>
    <x:row r="57" ht="31.5" customHeight="1">
      <x:c r="A57" s="6" t="str">
        <x:v>S01</x:v>
      </x:c>
      <x:c r="B57" s="6" t="str">
        <x:v>Velar</x:v>
      </x:c>
      <x:c r="C57" s="6" t="str">
        <x:v>Mineure</x:v>
      </x:c>
      <x:c r="D57" s="6" t="str">
        <x:v>Soleil</x:v>
      </x:c>
      <x:c r="E57" s="6" t="str">
        <x:v>Commune</x:v>
      </x:c>
      <x:c r="F57" s="6" t="str">
        <x:v>C</x:v>
      </x:c>
      <x:c r="G57" s="6" t="str">
        <x:v>Être</x:v>
      </x:c>
      <x:c r="H57" s="8" t="n">
        <x:v>3</x:v>
      </x:c>
      <x:c r="I57" s="8" t="n">
        <x:v>3</x:v>
      </x:c>
      <x:c r="J57" s="8" t="n">
        <x:v>3</x:v>
      </x:c>
      <x:c r="K57" s="9" t="str"/>
      <x:c r="L57" s="9" t="str"/>
      <x:c r="M57" s="6" t="str">
        <x:v>Élan</x:v>
      </x:c>
      <x:c r="N57" s="6" t="str">
        <x:v>Halo simple</x:v>
      </x:c>
      <x:c r="O57" s="6" t="str">
        <x:v>Faible</x:v>
      </x:c>
      <x:c r="P57" s="10" t="str">
        <x:v>À nommer</x:v>
      </x:c>
      <x:c r="Q57" s="10" t="str"/>
      <x:c r="R57" s="10" t="str">
        <x:v>radiant rebel angel, glass wings, sun halo, gold jewelry, hard daylight palette, calm pose, clean graphic illustration, flat background, generous negative space, full-art trading card composition --sref [SOLEIL_REFS] --sw 200 --no text, logo, watermark</x:v>
      </x:c>
      <x:c r="S57" s="10" t="str">
        <x:v>À concevoir</x:v>
      </x:c>
      <x:c r="T57" s="10" t="str"/>
    </x:row>
    <x:row r="58" ht="31.5" customHeight="1">
      <x:c r="A58" s="6" t="str">
        <x:v>S02</x:v>
      </x:c>
      <x:c r="B58" s="6" t="str">
        <x:v>Velar</x:v>
      </x:c>
      <x:c r="C58" s="6" t="str">
        <x:v>Mineure</x:v>
      </x:c>
      <x:c r="D58" s="6" t="str">
        <x:v>Soleil</x:v>
      </x:c>
      <x:c r="E58" s="6" t="str">
        <x:v>Commune</x:v>
      </x:c>
      <x:c r="F58" s="6" t="str">
        <x:v>C</x:v>
      </x:c>
      <x:c r="G58" s="6" t="str">
        <x:v>Être</x:v>
      </x:c>
      <x:c r="H58" s="8" t="n">
        <x:v>4</x:v>
      </x:c>
      <x:c r="I58" s="8" t="n">
        <x:v>4</x:v>
      </x:c>
      <x:c r="J58" s="8" t="n">
        <x:v>4</x:v>
      </x:c>
      <x:c r="K58" s="9" t="str"/>
      <x:c r="L58" s="9" t="str"/>
      <x:c r="M58" s="6" t="str">
        <x:v>Dégâts directs</x:v>
      </x:c>
      <x:c r="N58" s="6" t="str">
        <x:v>Halo simple</x:v>
      </x:c>
      <x:c r="O58" s="6" t="str">
        <x:v>Faible</x:v>
      </x:c>
      <x:c r="P58" s="10" t="str">
        <x:v>À nommer</x:v>
      </x:c>
      <x:c r="Q58" s="10" t="str"/>
      <x:c r="R58" s="10" t="str">
        <x:v>radiant rebel angel, glass wings, sun halo, gold jewelry, hard daylight palette, calm pose, clean graphic illustration, flat background, generous negative space, full-art trading card composition --sref [SOLEIL_REFS] --sw 200 --no text, logo, watermark</x:v>
      </x:c>
      <x:c r="S58" s="10" t="str">
        <x:v>À concevoir</x:v>
      </x:c>
      <x:c r="T58" s="10" t="str"/>
    </x:row>
    <x:row r="59" ht="31.5" customHeight="1">
      <x:c r="A59" s="6" t="str">
        <x:v>S03</x:v>
      </x:c>
      <x:c r="B59" s="6" t="str">
        <x:v>Velar</x:v>
      </x:c>
      <x:c r="C59" s="6" t="str">
        <x:v>Mineure</x:v>
      </x:c>
      <x:c r="D59" s="6" t="str">
        <x:v>Soleil</x:v>
      </x:c>
      <x:c r="E59" s="6" t="str">
        <x:v>Rare</x:v>
      </x:c>
      <x:c r="F59" s="6" t="str">
        <x:v>R</x:v>
      </x:c>
      <x:c r="G59" s="6" t="str">
        <x:v>Être</x:v>
      </x:c>
      <x:c r="H59" s="8" t="n">
        <x:v>3</x:v>
      </x:c>
      <x:c r="I59" s="8" t="n">
        <x:v>3</x:v>
      </x:c>
      <x:c r="J59" s="8" t="n">
        <x:v>4</x:v>
      </x:c>
      <x:c r="K59" s="9" t="str"/>
      <x:c r="L59" s="9" t="str"/>
      <x:c r="M59" s="6" t="str">
        <x:v>Pression rapide</x:v>
      </x:c>
      <x:c r="N59" s="6" t="str">
        <x:v>Halo + symbole</x:v>
      </x:c>
      <x:c r="O59" s="6" t="str">
        <x:v>Moyenne</x:v>
      </x:c>
      <x:c r="P59" s="10" t="str">
        <x:v>À nommer</x:v>
      </x:c>
      <x:c r="Q59" s="10" t="str"/>
      <x:c r="R59" s="10" t="str">
        <x:v>radiant rebel angel, glass wings, sun halo, gold jewelry, hard daylight palette, calm pose, clean graphic illustration, flat background, generous negative space, full-art trading card composition --sref [SOLEIL_REFS] --sw 200 --no text, logo, watermark</x:v>
      </x:c>
      <x:c r="S59" s="10" t="str">
        <x:v>À concevoir</x:v>
      </x:c>
      <x:c r="T59" s="10" t="str"/>
    </x:row>
    <x:row r="60" ht="31.5" customHeight="1">
      <x:c r="A60" s="6" t="str">
        <x:v>S04</x:v>
      </x:c>
      <x:c r="B60" s="6" t="str">
        <x:v>Velar</x:v>
      </x:c>
      <x:c r="C60" s="6" t="str">
        <x:v>Mineure</x:v>
      </x:c>
      <x:c r="D60" s="6" t="str">
        <x:v>Soleil</x:v>
      </x:c>
      <x:c r="E60" s="6" t="str">
        <x:v>Rare</x:v>
      </x:c>
      <x:c r="F60" s="6" t="str">
        <x:v>R</x:v>
      </x:c>
      <x:c r="G60" s="6" t="str">
        <x:v>Verbe</x:v>
      </x:c>
      <x:c r="H60" s="8" t="n">
        <x:v>5</x:v>
      </x:c>
      <x:c r="I60" s="8" t="str"/>
      <x:c r="J60" s="8" t="str"/>
      <x:c r="K60" s="9" t="str"/>
      <x:c r="L60" s="9" t="str"/>
      <x:c r="M60" s="6" t="str">
        <x:v>Pic de Volonté</x:v>
      </x:c>
      <x:c r="N60" s="6" t="str">
        <x:v>Halo + symbole</x:v>
      </x:c>
      <x:c r="O60" s="6" t="str">
        <x:v>Moyenne</x:v>
      </x:c>
      <x:c r="P60" s="10" t="str">
        <x:v>À nommer</x:v>
      </x:c>
      <x:c r="Q60" s="10" t="str"/>
      <x:c r="R60" s="10" t="str">
        <x:v>radiant rebel angel, glass wings, sun halo, gold jewelry, hard daylight palette, calm pose, clean graphic illustration, flat background, generous negative space, full-art trading card composition --sref [SOLEIL_REFS] --sw 200 --no text, logo, watermark</x:v>
      </x:c>
      <x:c r="S60" s="10" t="str">
        <x:v>À concevoir</x:v>
      </x:c>
      <x:c r="T60" s="10" t="str"/>
    </x:row>
    <x:row r="61" ht="31.5" customHeight="1">
      <x:c r="A61" s="6" t="str">
        <x:v>S05</x:v>
      </x:c>
      <x:c r="B61" s="6" t="str">
        <x:v>Velar</x:v>
      </x:c>
      <x:c r="C61" s="6" t="str">
        <x:v>Mineure</x:v>
      </x:c>
      <x:c r="D61" s="6" t="str">
        <x:v>Soleil</x:v>
      </x:c>
      <x:c r="E61" s="6" t="str">
        <x:v>Légendaire</x:v>
      </x:c>
      <x:c r="F61" s="6" t="str">
        <x:v>L</x:v>
      </x:c>
      <x:c r="G61" s="6" t="str">
        <x:v>Être</x:v>
      </x:c>
      <x:c r="H61" s="8" t="n">
        <x:v>7</x:v>
      </x:c>
      <x:c r="I61" s="8" t="n">
        <x:v>8</x:v>
      </x:c>
      <x:c r="J61" s="8" t="n">
        <x:v>8</x:v>
      </x:c>
      <x:c r="K61" s="9" t="str"/>
      <x:c r="L61" s="9" t="str"/>
      <x:c r="M61" s="6" t="str">
        <x:v>Élan</x:v>
      </x:c>
      <x:c r="N61" s="6" t="str">
        <x:v>Halo mythique</x:v>
      </x:c>
      <x:c r="O61" s="6" t="str">
        <x:v>Très forte</x:v>
      </x:c>
      <x:c r="P61" s="10" t="str">
        <x:v>À nommer</x:v>
      </x:c>
      <x:c r="Q61" s="10" t="str"/>
      <x:c r="R61" s="10" t="str">
        <x:v>radiant rebel angel, glass wings, sun halo, gold jewelry, hard daylight palette, calm pose, clean graphic illustration, flat background, generous negative space, full-art trading card composition --sref [SOLEIL_REFS] --sw 200 --no text, logo, watermark</x:v>
      </x:c>
      <x:c r="S61" s="10" t="str">
        <x:v>À concevoir</x:v>
      </x:c>
      <x:c r="T61" s="10" t="str"/>
    </x:row>
  </x:sheetData>
  <x:conditionalFormatting sqref="S2:S61">
    <x:cfRule type="containsText" dxfId="0" priority="1" operator="containsText" text="À concevoir"/>
    <x:cfRule type="containsText" dxfId="1" priority="2" operator="containsText" text="Prompt prêt"/>
    <x:cfRule type="containsText" dxfId="2" priority="3" operator="containsText" text="Généré"/>
    <x:cfRule type="containsText" dxfId="3" priority="4" operator="containsText" text="Intégré"/>
    <x:cfRule type="containsText" dxfId="4" priority="5" operator="containsText" text="Testé"/>
  </x:conditionalFormatting>
  <x:conditionalFormatting sqref="E2:E61">
    <x:cfRule type="containsText" dxfId="5" priority="6" operator="containsText" text="Prismatique"/>
    <x:cfRule type="containsText" dxfId="6" priority="7" operator="containsText" text="Légendaire"/>
  </x:conditionalFormatting>
  <x:dataValidations count="6">
    <x:dataValidation type="list" sqref="B2:B61">
      <x:formula1>'Listes'!$A$2:$A$6</x:formula1>
    </x:dataValidation>
    <x:dataValidation type="list" sqref="E2:E61">
      <x:formula1>'Listes'!$B$2:$B$6</x:formula1>
    </x:dataValidation>
    <x:dataValidation type="list" sqref="G2:G61">
      <x:formula1>'Listes'!$C$2:$C$3</x:formula1>
    </x:dataValidation>
    <x:dataValidation type="list" sqref="K2:K61">
      <x:formula1>'Listes'!$D$2:$D$7</x:formula1>
    </x:dataValidation>
    <x:dataValidation type="list" sqref="M2:M61">
      <x:formula1>"Serment / protection,Buff de masse,Récitation / tempo lent,Punition Prononcer,Stabilisation,Rupture / sacrifice,Destruction ciblée,Prononcer fort,Auto-dégâts,Finisher,Mémoire / pioche,Information,Exil contrôlé,Écho de défausse,Mutation,Réduction de coût,Adaptation défensive,Mode flexible,Élan,Dégâts directs,Pression rapide,Pic de Volonté"</x:formula1>
    </x:dataValidation>
    <x:dataValidation type="list" sqref="S2:S61">
      <x:formula1>'Listes'!$E$2:$E$7</x:formula1>
    </x:dataValidation>
  </x:dataValidations>
  <x:pageMargins left="0.7" right="0.7" top="0.75" bottom="0.75" header="0.3" footer="0.3"/>
  <x:tableParts count="1">
    <x:tablePart xmlns:r="http://schemas.openxmlformats.org/officeDocument/2006/relationships" r:id="Ra1757e4c97cb4e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25" hidden="0" customWidth="1"/>
    <x:col min="2" max="2" width="16.25" hidden="0" customWidth="1"/>
    <x:col min="3" max="3" width="16.25" hidden="0" customWidth="1"/>
    <x:col min="4" max="4" width="16.25" hidden="0" customWidth="1"/>
    <x:col min="5" max="5" width="16.25" hidden="0" customWidth="1"/>
    <x:col min="6" max="6" width="16.25" hidden="0" customWidth="1"/>
    <x:col min="7" max="7" width="16.25" hidden="0" customWidth="1"/>
    <x:col min="8" max="8" width="16.25" hidden="0" customWidth="1"/>
  </x:cols>
  <x:sheetData>
    <x:row r="1">
      <x:c r="A1" s="2" t="str">
        <x:v>Peuples</x:v>
      </x:c>
      <x:c r="B1" s="2" t="str">
        <x:v>Raretés</x:v>
      </x:c>
      <x:c r="C1" s="2" t="str">
        <x:v>Types</x:v>
      </x:c>
      <x:c r="D1" s="2" t="str">
        <x:v>Mots-clés</x:v>
      </x:c>
      <x:c r="E1" s="2" t="str">
        <x:v>Statuts</x:v>
      </x:c>
      <x:c r="F1" s="2" t="str">
        <x:v>Halos</x:v>
      </x:c>
      <x:c r="G1" s="2" t="str">
        <x:v>Densités</x:v>
      </x:c>
      <x:c r="H1" s="2" t="str">
        <x:v>Kits</x:v>
      </x:c>
    </x:row>
    <x:row r="2">
      <x:c r="A2" t="str">
        <x:v>Vasar</x:v>
      </x:c>
      <x:c r="B2" t="str">
        <x:v>Commune</x:v>
      </x:c>
      <x:c r="C2" t="str">
        <x:v>Être</x:v>
      </x:c>
      <x:c r="D2" t="str">
        <x:v>Serment</x:v>
      </x:c>
      <x:c r="E2" t="str">
        <x:v>À concevoir</x:v>
      </x:c>
      <x:c r="F2" t="str">
        <x:v>Halo simple</x:v>
      </x:c>
      <x:c r="G2" t="str">
        <x:v>Faible</x:v>
      </x:c>
      <x:c r="H2" t="str">
        <x:v>Sacré</x:v>
      </x:c>
    </x:row>
    <x:row r="3">
      <x:c r="A3" t="str">
        <x:v>Exar</x:v>
      </x:c>
      <x:c r="B3" t="str">
        <x:v>Rare</x:v>
      </x:c>
      <x:c r="C3" t="str">
        <x:v>Verbe</x:v>
      </x:c>
      <x:c r="D3" t="str">
        <x:v>Élan</x:v>
      </x:c>
      <x:c r="E3" t="str">
        <x:v>Prompt prêt</x:v>
      </x:c>
      <x:c r="F3" t="str">
        <x:v>Halo + symbole</x:v>
      </x:c>
      <x:c r="G3" t="str">
        <x:v>Moyenne</x:v>
      </x:c>
      <x:c r="H3" t="str">
        <x:v>Menace</x:v>
      </x:c>
    </x:row>
    <x:row r="4">
      <x:c r="A4" t="str">
        <x:v>Eshar</x:v>
      </x:c>
      <x:c r="B4" t="str">
        <x:v>Épique</x:v>
      </x:c>
      <x:c r="C4" t="str"/>
      <x:c r="D4" t="str">
        <x:v>Mémoire</x:v>
      </x:c>
      <x:c r="E4" t="str">
        <x:v>Généré</x:v>
      </x:c>
      <x:c r="F4" t="str">
        <x:v>Halo complexe</x:v>
      </x:c>
      <x:c r="G4" t="str">
        <x:v>Forte</x:v>
      </x:c>
      <x:c r="H4" t="str">
        <x:v>Spectre</x:v>
      </x:c>
    </x:row>
    <x:row r="5">
      <x:c r="A5" t="str">
        <x:v>Morar</x:v>
      </x:c>
      <x:c r="B5" t="str">
        <x:v>Légendaire</x:v>
      </x:c>
      <x:c r="C5" t="str"/>
      <x:c r="D5" t="str">
        <x:v>Rupture</x:v>
      </x:c>
      <x:c r="E5" t="str">
        <x:v>Intégré</x:v>
      </x:c>
      <x:c r="F5" t="str">
        <x:v>Halo mythique</x:v>
      </x:c>
      <x:c r="G5" t="str">
        <x:v>Très forte</x:v>
      </x:c>
      <x:c r="H5" t="str">
        <x:v>Exil</x:v>
      </x:c>
    </x:row>
    <x:row r="6">
      <x:c r="A6" t="str">
        <x:v>Velar</x:v>
      </x:c>
      <x:c r="B6" t="str">
        <x:v>Prismatique</x:v>
      </x:c>
      <x:c r="C6" t="str"/>
      <x:c r="D6" t="str">
        <x:v>Mutation</x:v>
      </x:c>
      <x:c r="E6" t="str">
        <x:v>Testé</x:v>
      </x:c>
      <x:c r="F6" t="str">
        <x:v>Halo ultime / éclipse</x:v>
      </x:c>
      <x:c r="G6" t="str">
        <x:v>Ultime</x:v>
      </x:c>
      <x:c r="H6" t="str">
        <x:v>Soleil</x:v>
      </x:c>
    </x:row>
    <x:row r="7">
      <x:c r="A7" t="str"/>
      <x:c r="B7" t="str"/>
      <x:c r="C7" t="str"/>
      <x:c r="D7" t="str">
        <x:v>Aucun</x:v>
      </x:c>
      <x:c r="E7" t="str">
        <x:v>Rework</x:v>
      </x:c>
      <x:c r="F7" t="str"/>
      <x:c r="G7" t="str"/>
      <x:c r="H7"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s>
  <x:sheetData>
    <x:row r="1">
      <x:c r="A1" s="12" t="str">
        <x:v>Répartition du set</x:v>
      </x:c>
      <x:c r="B1" s="12"/>
      <x:c r="C1" s="12"/>
      <x:c r="D1" s="12"/>
      <x:c r="E1" s="12"/>
      <x:c r="F1" s="12"/>
      <x:c r="G1" s="12"/>
      <x:c r="H1" s="12"/>
    </x:row>
    <x:row r="3">
      <x:c r="A3" s="15" t="str">
        <x:v>Peuple</x:v>
      </x:c>
      <x:c r="B3" s="15" t="str">
        <x:v>Total</x:v>
      </x:c>
      <x:c r="C3" s="15" t="str">
        <x:v>Commune</x:v>
      </x:c>
      <x:c r="D3" s="15" t="str">
        <x:v>Rare</x:v>
      </x:c>
      <x:c r="E3" s="15" t="str">
        <x:v>Épique</x:v>
      </x:c>
      <x:c r="F3" s="15" t="str">
        <x:v>Légendaire</x:v>
      </x:c>
      <x:c r="G3" s="15" t="str">
        <x:v>Prismatique</x:v>
      </x:c>
    </x:row>
    <x:row r="4">
      <x:c r="A4" s="13" t="str">
        <x:v>Vasar</x:v>
      </x:c>
      <x:c r="B4" s="13" t="n">
        <x:f>COUNTIF('Set 01'!$B$2:$B$61,A4)</x:f>
        <x:v>22</x:v>
      </x:c>
      <x:c r="C4" s="13" t="n">
        <x:f>COUNTIFS('Set 01'!$B$2:$B$61,$A4,'Set 01'!$E$2:$E$61,C$3)</x:f>
        <x:v>9</x:v>
      </x:c>
      <x:c r="D4" s="13" t="n">
        <x:f>COUNTIFS('Set 01'!$B$2:$B$61,$A4,'Set 01'!$E$2:$E$61,D$3)</x:f>
        <x:v>6</x:v>
      </x:c>
      <x:c r="E4" s="13" t="n">
        <x:f>COUNTIFS('Set 01'!$B$2:$B$61,$A4,'Set 01'!$E$2:$E$61,E$3)</x:f>
        <x:v>4</x:v>
      </x:c>
      <x:c r="F4" s="13" t="n">
        <x:f>COUNTIFS('Set 01'!$B$2:$B$61,$A4,'Set 01'!$E$2:$E$61,F$3)</x:f>
        <x:v>2</x:v>
      </x:c>
      <x:c r="G4" s="13" t="n">
        <x:f>COUNTIFS('Set 01'!$B$2:$B$61,$A4,'Set 01'!$E$2:$E$61,G$3)</x:f>
        <x:v>1</x:v>
      </x:c>
    </x:row>
    <x:row r="5">
      <x:c r="A5" s="13" t="str">
        <x:v>Exar</x:v>
      </x:c>
      <x:c r="B5" s="13" t="n">
        <x:f>COUNTIF('Set 01'!$B$2:$B$61,A5)</x:f>
        <x:v>22</x:v>
      </x:c>
      <x:c r="C5" s="13" t="n">
        <x:f>COUNTIFS('Set 01'!$B$2:$B$61,$A5,'Set 01'!$E$2:$E$61,C$3)</x:f>
        <x:v>9</x:v>
      </x:c>
      <x:c r="D5" s="13" t="n">
        <x:f>COUNTIFS('Set 01'!$B$2:$B$61,$A5,'Set 01'!$E$2:$E$61,D$3)</x:f>
        <x:v>6</x:v>
      </x:c>
      <x:c r="E5" s="13" t="n">
        <x:f>COUNTIFS('Set 01'!$B$2:$B$61,$A5,'Set 01'!$E$2:$E$61,E$3)</x:f>
        <x:v>4</x:v>
      </x:c>
      <x:c r="F5" s="13" t="n">
        <x:f>COUNTIFS('Set 01'!$B$2:$B$61,$A5,'Set 01'!$E$2:$E$61,F$3)</x:f>
        <x:v>2</x:v>
      </x:c>
      <x:c r="G5" s="13" t="n">
        <x:f>COUNTIFS('Set 01'!$B$2:$B$61,$A5,'Set 01'!$E$2:$E$61,G$3)</x:f>
        <x:v>1</x:v>
      </x:c>
    </x:row>
    <x:row r="6">
      <x:c r="A6" s="13" t="str">
        <x:v>Eshar</x:v>
      </x:c>
      <x:c r="B6" s="13" t="n">
        <x:f>COUNTIF('Set 01'!$B$2:$B$61,A6)</x:f>
        <x:v>6</x:v>
      </x:c>
      <x:c r="C6" s="13" t="n">
        <x:f>COUNTIFS('Set 01'!$B$2:$B$61,$A6,'Set 01'!$E$2:$E$61,C$3)</x:f>
        <x:v>3</x:v>
      </x:c>
      <x:c r="D6" s="13" t="n">
        <x:f>COUNTIFS('Set 01'!$B$2:$B$61,$A6,'Set 01'!$E$2:$E$61,D$3)</x:f>
        <x:v>1</x:v>
      </x:c>
      <x:c r="E6" s="13" t="n">
        <x:f>COUNTIFS('Set 01'!$B$2:$B$61,$A6,'Set 01'!$E$2:$E$61,E$3)</x:f>
        <x:v>1</x:v>
      </x:c>
      <x:c r="F6" s="13" t="n">
        <x:f>COUNTIFS('Set 01'!$B$2:$B$61,$A6,'Set 01'!$E$2:$E$61,F$3)</x:f>
        <x:v>1</x:v>
      </x:c>
      <x:c r="G6" s="13" t="n">
        <x:f>COUNTIFS('Set 01'!$B$2:$B$61,$A6,'Set 01'!$E$2:$E$61,G$3)</x:f>
        <x:v>0</x:v>
      </x:c>
    </x:row>
    <x:row r="7">
      <x:c r="A7" s="13" t="str">
        <x:v>Morar</x:v>
      </x:c>
      <x:c r="B7" s="13" t="n">
        <x:f>COUNTIF('Set 01'!$B$2:$B$61,A7)</x:f>
        <x:v>5</x:v>
      </x:c>
      <x:c r="C7" s="13" t="n">
        <x:f>COUNTIFS('Set 01'!$B$2:$B$61,$A7,'Set 01'!$E$2:$E$61,C$3)</x:f>
        <x:v>3</x:v>
      </x:c>
      <x:c r="D7" s="13" t="n">
        <x:f>COUNTIFS('Set 01'!$B$2:$B$61,$A7,'Set 01'!$E$2:$E$61,D$3)</x:f>
        <x:v>1</x:v>
      </x:c>
      <x:c r="E7" s="13" t="n">
        <x:f>COUNTIFS('Set 01'!$B$2:$B$61,$A7,'Set 01'!$E$2:$E$61,E$3)</x:f>
        <x:v>1</x:v>
      </x:c>
      <x:c r="F7" s="13" t="n">
        <x:f>COUNTIFS('Set 01'!$B$2:$B$61,$A7,'Set 01'!$E$2:$E$61,F$3)</x:f>
        <x:v>0</x:v>
      </x:c>
      <x:c r="G7" s="13" t="n">
        <x:f>COUNTIFS('Set 01'!$B$2:$B$61,$A7,'Set 01'!$E$2:$E$61,G$3)</x:f>
        <x:v>0</x:v>
      </x:c>
    </x:row>
    <x:row r="8">
      <x:c r="A8" s="13" t="str">
        <x:v>Velar</x:v>
      </x:c>
      <x:c r="B8" s="13" t="n">
        <x:f>COUNTIF('Set 01'!$B$2:$B$61,A8)</x:f>
        <x:v>5</x:v>
      </x:c>
      <x:c r="C8" s="13" t="n">
        <x:f>COUNTIFS('Set 01'!$B$2:$B$61,$A8,'Set 01'!$E$2:$E$61,C$3)</x:f>
        <x:v>2</x:v>
      </x:c>
      <x:c r="D8" s="13" t="n">
        <x:f>COUNTIFS('Set 01'!$B$2:$B$61,$A8,'Set 01'!$E$2:$E$61,D$3)</x:f>
        <x:v>2</x:v>
      </x:c>
      <x:c r="E8" s="13" t="n">
        <x:f>COUNTIFS('Set 01'!$B$2:$B$61,$A8,'Set 01'!$E$2:$E$61,E$3)</x:f>
        <x:v>0</x:v>
      </x:c>
      <x:c r="F8" s="13" t="n">
        <x:f>COUNTIFS('Set 01'!$B$2:$B$61,$A8,'Set 01'!$E$2:$E$61,F$3)</x:f>
        <x:v>1</x:v>
      </x:c>
      <x:c r="G8" s="13" t="n">
        <x:f>COUNTIFS('Set 01'!$B$2:$B$61,$A8,'Set 01'!$E$2:$E$61,G$3)</x:f>
        <x:v>0</x:v>
      </x:c>
    </x:row>
    <x:row r="9">
      <x:c r="A9" s="17" t="str">
        <x:v>TOTAL</x:v>
      </x:c>
      <x:c r="B9" s="17" t="n">
        <x:f>SUM(B4:B8)</x:f>
        <x:v>60</x:v>
      </x:c>
      <x:c r="C9" s="17" t="n">
        <x:f>SUM(C4:C8)</x:f>
        <x:v>26</x:v>
      </x:c>
      <x:c r="D9" s="17" t="n">
        <x:f>SUM(D4:D8)</x:f>
        <x:v>16</x:v>
      </x:c>
      <x:c r="E9" s="17" t="n">
        <x:f>SUM(E4:E8)</x:f>
        <x:v>10</x:v>
      </x:c>
      <x:c r="F9" s="17" t="n">
        <x:f>SUM(F4:F8)</x:f>
        <x:v>6</x:v>
      </x:c>
      <x:c r="G9" s="17" t="n">
        <x:f>SUM(G4:G8)</x:f>
        <x:v>2</x:v>
      </x:c>
    </x:row>
  </x:sheetData>
  <x:mergeCells>
    <x:mergeCell ref="A1:H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35" hidden="0" customWidth="1"/>
    <x:col min="6" max="6" width="35" hidden="0" customWidth="1"/>
  </x:cols>
  <x:sheetData>
    <x:row r="1">
      <x:c r="A1" s="12" t="str">
        <x:v>Logique prompts Midjourney</x:v>
      </x:c>
      <x:c r="B1" s="12"/>
      <x:c r="C1" s="12"/>
      <x:c r="D1" s="12"/>
      <x:c r="E1" s="12"/>
      <x:c r="F1" s="12"/>
    </x:row>
    <x:row r="3">
      <x:c r="A3" s="2" t="str">
        <x:v>Rareté</x:v>
      </x:c>
      <x:c r="B3" s="2" t="str">
        <x:v>Composition</x:v>
      </x:c>
      <x:c r="C3" s="2" t="str">
        <x:v>Halo</x:v>
      </x:c>
      <x:c r="D3" s="2" t="str">
        <x:v>Ornement</x:v>
      </x:c>
      <x:c r="E3" s="2" t="str">
        <x:v>Mots utiles</x:v>
      </x:c>
      <x:c r="F3" s="2" t="str">
        <x:v>À éviter</x:v>
      </x:c>
    </x:row>
    <x:row r="4">
      <x:c r="A4" s="19" t="str">
        <x:v>Commune</x:v>
      </x:c>
      <x:c r="B4" s="19" t="str">
        <x:v>Pose simple</x:v>
      </x:c>
      <x:c r="C4" s="19" t="str">
        <x:v>Halo clair</x:v>
      </x:c>
      <x:c r="D4" s="19" t="str">
        <x:v>Faible</x:v>
      </x:c>
      <x:c r="E4" s="19" t="str">
        <x:v>single character, flat background, generous negative space</x:v>
      </x:c>
      <x:c r="F4" s="19" t="str">
        <x:v>overdetailed background</x:v>
      </x:c>
    </x:row>
    <x:row r="5">
      <x:c r="A5" s="19" t="str">
        <x:v>Rare</x:v>
      </x:c>
      <x:c r="B5" s="19" t="str">
        <x:v>Pose simple + objet</x:v>
      </x:c>
      <x:c r="C5" s="19" t="str">
        <x:v>Halo + symbole</x:v>
      </x:c>
      <x:c r="D5" s="19" t="str">
        <x:v>Moyenne</x:v>
      </x:c>
      <x:c r="E5" s="19" t="str">
        <x:v>ritual object, subtle gold ornament</x:v>
      </x:c>
      <x:c r="F5" s="19" t="str">
        <x:v>cinematic environment</x:v>
      </x:c>
    </x:row>
    <x:row r="6">
      <x:c r="A6" s="19" t="str">
        <x:v>Épique</x:v>
      </x:c>
      <x:c r="B6" s="19" t="str">
        <x:v>Figure plus dense</x:v>
      </x:c>
      <x:c r="C6" s="19" t="str">
        <x:v>Halo complexe</x:v>
      </x:c>
      <x:c r="D6" s="19" t="str">
        <x:v>Forte</x:v>
      </x:c>
      <x:c r="E6" s="19" t="str">
        <x:v>floating fragments, gold chains, ritual markings</x:v>
      </x:c>
      <x:c r="F6" s="19" t="str">
        <x:v>splash art</x:v>
      </x:c>
    </x:row>
    <x:row r="7">
      <x:c r="A7" s="19" t="str">
        <x:v>Légendaire</x:v>
      </x:c>
      <x:c r="B7" s="19" t="str">
        <x:v>Figure iconique</x:v>
      </x:c>
      <x:c r="C7" s="19" t="str">
        <x:v>Grand halo</x:v>
      </x:c>
      <x:c r="D7" s="19" t="str">
        <x:v>Très forte</x:v>
      </x:c>
      <x:c r="E7" s="19" t="str">
        <x:v>ceremonial symmetry, mythic stillness</x:v>
      </x:c>
      <x:c r="F7" s="19" t="str">
        <x:v>battle scene</x:v>
      </x:c>
    </x:row>
    <x:row r="8">
      <x:c r="A8" s="19" t="str">
        <x:v>Prismatique</x:v>
      </x:c>
      <x:c r="B8" s="19" t="str">
        <x:v>Composition frontale symétrique</x:v>
      </x:c>
      <x:c r="C8" s="19" t="str">
        <x:v>Éclipse massive</x:v>
      </x:c>
      <x:c r="D8" s="19" t="str">
        <x:v>Ultime</x:v>
      </x:c>
      <x:c r="E8" s="19" t="str">
        <x:v>radiant prism light, sacred geometry, high ornament density</x:v>
      </x:c>
      <x:c r="F8" s="19" t="str">
        <x:v>rainbow everywhere</x:v>
      </x:c>
    </x:row>
  </x:sheetData>
  <x:mergeCells>
    <x:mergeCell ref="A1:F1"/>
  </x:mergeCells>
  <x:pageMargins left="0.7" right="0.7" top="0.75" bottom="0.75" header="0.3" footer="0.3"/>
</x:worksheet>
</file>